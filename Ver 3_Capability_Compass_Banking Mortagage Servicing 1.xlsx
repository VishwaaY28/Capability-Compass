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98857\Downloads\"/>
    </mc:Choice>
  </mc:AlternateContent>
  <xr:revisionPtr revIDLastSave="0" documentId="13_ncr:1_{BA61EEE4-7520-4988-98E2-C822B440CB3D}" xr6:coauthVersionLast="47" xr6:coauthVersionMax="47" xr10:uidLastSave="{00000000-0000-0000-0000-000000000000}"/>
  <bookViews>
    <workbookView xWindow="-120" yWindow="-120" windowWidth="23280" windowHeight="14880" activeTab="1" xr2:uid="{41020589-ECDB-4EC2-9DAF-4EE97231B594}"/>
  </bookViews>
  <sheets>
    <sheet name="in" sheetId="1" r:id="rId1"/>
    <sheet name="Agents1" sheetId="5" r:id="rId2"/>
    <sheet name="Agents" sheetId="4" state="hidden" r:id="rId3"/>
  </sheets>
  <definedNames>
    <definedName name="_xlnm._FilterDatabase" localSheetId="0" hidden="1">in!$A$1:$M$36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Q13" i="5"/>
</calcChain>
</file>

<file path=xl/sharedStrings.xml><?xml version="1.0" encoding="utf-8"?>
<sst xmlns="http://schemas.openxmlformats.org/spreadsheetml/2006/main" count="1359" uniqueCount="824">
  <si>
    <t>Vertical</t>
  </si>
  <si>
    <t>Sub Vertical</t>
  </si>
  <si>
    <t>Capability Name</t>
  </si>
  <si>
    <t>Process</t>
  </si>
  <si>
    <t>Process Description</t>
  </si>
  <si>
    <t>Sub Process</t>
  </si>
  <si>
    <t>Sub-Process Description</t>
  </si>
  <si>
    <t>Data Entity</t>
  </si>
  <si>
    <t>Data Entity Description</t>
  </si>
  <si>
    <t>Data Element</t>
  </si>
  <si>
    <t>Data Element Description</t>
  </si>
  <si>
    <t>Organization Units</t>
  </si>
  <si>
    <t>Applications</t>
  </si>
  <si>
    <t>Purpose</t>
  </si>
  <si>
    <t>Document ID</t>
  </si>
  <si>
    <t>Banking</t>
  </si>
  <si>
    <t>Mortgage Lending</t>
  </si>
  <si>
    <t>Agentic AI Mortgage Platform</t>
  </si>
  <si>
    <t>Property Type</t>
  </si>
  <si>
    <t>Property Value</t>
  </si>
  <si>
    <t>Loan Amount</t>
  </si>
  <si>
    <t>Date of Birth</t>
  </si>
  <si>
    <t>Property Address</t>
  </si>
  <si>
    <t>Mortgage Term = 25 Years</t>
  </si>
  <si>
    <t>LTV = 80%</t>
  </si>
  <si>
    <t>Mortgage Purpose</t>
  </si>
  <si>
    <t>Number of Applicants</t>
  </si>
  <si>
    <t>Property is in UK</t>
  </si>
  <si>
    <t>Applicant is UK resident</t>
  </si>
  <si>
    <t>Full Name</t>
  </si>
  <si>
    <t>Annual Income</t>
  </si>
  <si>
    <t>Occupation</t>
  </si>
  <si>
    <t>EPC Rating</t>
  </si>
  <si>
    <t>Terms</t>
  </si>
  <si>
    <t>Existing Mortgage</t>
  </si>
  <si>
    <t>Existing Credit Card</t>
  </si>
  <si>
    <t>Credit Score</t>
  </si>
  <si>
    <t>CCJs</t>
  </si>
  <si>
    <t>Defaults</t>
  </si>
  <si>
    <t>Bankruptcy</t>
  </si>
  <si>
    <t>Property</t>
  </si>
  <si>
    <t>Operations</t>
  </si>
  <si>
    <t>Document Name</t>
  </si>
  <si>
    <t>Product Name</t>
  </si>
  <si>
    <t>Product Type</t>
  </si>
  <si>
    <t>Interest Rate</t>
  </si>
  <si>
    <t>Product Team</t>
  </si>
  <si>
    <t>Affordability Result</t>
  </si>
  <si>
    <t>Credit Risk Result</t>
  </si>
  <si>
    <t>Recommended Product</t>
  </si>
  <si>
    <t>Underwriter Recommendation</t>
  </si>
  <si>
    <t>Approved Loan Amount</t>
  </si>
  <si>
    <t>Monthly Payment</t>
  </si>
  <si>
    <t>Mortgage term</t>
  </si>
  <si>
    <t>Offer status</t>
  </si>
  <si>
    <t>Offer Reference Number</t>
  </si>
  <si>
    <t>Acceptance Date</t>
  </si>
  <si>
    <t>Acceptance status</t>
  </si>
  <si>
    <t>Customer confirmation</t>
  </si>
  <si>
    <t>Digital Signature Flag</t>
  </si>
  <si>
    <t>Solicitor Name</t>
  </si>
  <si>
    <t>Solicitor Firm</t>
  </si>
  <si>
    <t>Property Search Status</t>
  </si>
  <si>
    <t>Legal Enquiry Status</t>
  </si>
  <si>
    <t>Legal</t>
  </si>
  <si>
    <t>Customer</t>
  </si>
  <si>
    <t>Final Credit Check Status</t>
  </si>
  <si>
    <t>Final Document Status</t>
  </si>
  <si>
    <t>Completion Date</t>
  </si>
  <si>
    <t>Completion Readiness Status</t>
  </si>
  <si>
    <t>Release Amount</t>
  </si>
  <si>
    <t>Solicitor Account</t>
  </si>
  <si>
    <t>Release date</t>
  </si>
  <si>
    <t>Payment Reference</t>
  </si>
  <si>
    <t>Fund Release Status</t>
  </si>
  <si>
    <t>Finance</t>
  </si>
  <si>
    <t>Mortgage account Number</t>
  </si>
  <si>
    <t>Mortgage Status</t>
  </si>
  <si>
    <t>Underwriter Special Conditions</t>
  </si>
  <si>
    <t>Deposit Verification Status</t>
  </si>
  <si>
    <t>Legal Completion Status</t>
  </si>
  <si>
    <t>Document Verification Result</t>
  </si>
  <si>
    <t>Initial Eligibility Agent</t>
  </si>
  <si>
    <t>Input</t>
  </si>
  <si>
    <t>Output</t>
  </si>
  <si>
    <t>Processing</t>
  </si>
  <si>
    <t>Check Mortgage Purpose = Purchase</t>
  </si>
  <si>
    <t>Check Number of Applicants = 2</t>
  </si>
  <si>
    <t>Check the Property is in UK = Yes</t>
  </si>
  <si>
    <t>Check if Applicant is UK Resident = Yes</t>
  </si>
  <si>
    <t>Applicant Initial Eligibility Check</t>
  </si>
  <si>
    <t>Success:</t>
  </si>
  <si>
    <t>Applicant Data Capture</t>
  </si>
  <si>
    <t>Data Capture Agent</t>
  </si>
  <si>
    <t>Convert Date of Birth to Age</t>
  </si>
  <si>
    <t>Check  Applicant Age after the Term &lt; 70</t>
  </si>
  <si>
    <t xml:space="preserve">Check Occupation = Employed / Self Employed </t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</si>
  <si>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Applicant does not meet the initial assessment, please connect with Lender for more information</t>
    </r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</si>
  <si>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Applicant Initial Elibility Successful, Move to next Stage</t>
    </r>
  </si>
  <si>
    <t>Check  Age &gt; 18 years</t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</si>
  <si>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Application can moved to next stage</t>
    </r>
  </si>
  <si>
    <t xml:space="preserve">Product Recommendation </t>
  </si>
  <si>
    <t>Calculate LTV =  ( loan  amount / Property Value) * 100</t>
  </si>
  <si>
    <t>Example</t>
  </si>
  <si>
    <t>Property Value = £400,000</t>
  </si>
  <si>
    <t>Loan Amount = £320,000</t>
  </si>
  <si>
    <t>Calculation:</t>
  </si>
  <si>
    <t>LTV = (320,000 ÷ 400,000) × 100</t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</si>
  <si>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 xml:space="preserve">: </t>
    </r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</si>
  <si>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Show Recommded Product Based on LTV</t>
    </r>
  </si>
  <si>
    <r>
      <t xml:space="preserve">Product Name:PRIMEFIXEDRATE(F)
Product Type: Prime 5 Fixed Rate
</t>
    </r>
    <r>
      <rPr>
        <b/>
        <sz val="11"/>
        <color theme="1"/>
        <rFont val="Aptos"/>
        <family val="2"/>
      </rPr>
      <t>Eligibility: LTV ≤ 75%</t>
    </r>
    <r>
      <rPr>
        <sz val="11"/>
        <color theme="1"/>
        <rFont val="Aptos"/>
        <family val="2"/>
      </rPr>
      <t xml:space="preserve">
Initial Rate: 5.05%
ERC: 5% for 5 Years
APRC:	5.28%
Monthly Payment: Calculate</t>
    </r>
  </si>
  <si>
    <r>
      <t xml:space="preserve">Product Name: STANDFIXEDRATE(B)
Product Type: Standard Fixed Rate
</t>
    </r>
    <r>
      <rPr>
        <b/>
        <sz val="11"/>
        <color theme="1"/>
        <rFont val="Aptos"/>
        <family val="2"/>
      </rPr>
      <t>Eligibility: LTV ≤ 85%</t>
    </r>
    <r>
      <rPr>
        <sz val="11"/>
        <color theme="1"/>
        <rFont val="Aptos"/>
        <family val="2"/>
      </rPr>
      <t xml:space="preserve">
Initial Rate: 4.95%
ERC: 5% for 5 Years
APRC: 5.17%
Monthly Payment: Calculate</t>
    </r>
  </si>
  <si>
    <t>Property Value = £250,000</t>
  </si>
  <si>
    <t>Deposit = £50,000</t>
  </si>
  <si>
    <t>Loan Amount = £200,000</t>
  </si>
  <si>
    <t>Interest Rate = 5%</t>
  </si>
  <si>
    <t>Calculate Monthly Payment</t>
  </si>
  <si>
    <t>Step 1: Calculate Loan Amount</t>
  </si>
  <si>
    <t>Loan Amount = Property Value − Deposit</t>
  </si>
  <si>
    <t>Loan Amount = £250,000 − £50,000</t>
  </si>
  <si>
    <t>Step 2: Calculate Monthly Interest Rate</t>
  </si>
  <si>
    <t>Annual Interest Rate = 5%</t>
  </si>
  <si>
    <t>Monthly Interest Rate = 5 ÷ 12 ÷ 100</t>
  </si>
  <si>
    <t>Monthly Interest Rate = 0.004167</t>
  </si>
  <si>
    <t>Step 3: Calculate Number of Monthly Payments</t>
  </si>
  <si>
    <t>Number of Payments = 25 × 12</t>
  </si>
  <si>
    <t>Number of Payments = 300</t>
  </si>
  <si>
    <t>Step 4: Calculate (1 + r)^n</t>
  </si>
  <si>
    <t>(1 + 0.004167)^300</t>
  </si>
  <si>
    <t>Result = 3.482</t>
  </si>
  <si>
    <t>Step 5: Calculate Numerator</t>
  </si>
  <si>
    <t>r × (1 + r)^n</t>
  </si>
  <si>
    <t>0.004167 × 3.482</t>
  </si>
  <si>
    <t>Result = 0.01451</t>
  </si>
  <si>
    <t>Step 6: Calculate Denominator</t>
  </si>
  <si>
    <t>(1 + r)^n − 1</t>
  </si>
  <si>
    <t>3.482 − 1</t>
  </si>
  <si>
    <t>Result = 2.482</t>
  </si>
  <si>
    <t>Step 7: Divide Numerator by Denominator</t>
  </si>
  <si>
    <t>0.01451 ÷ 2.482</t>
  </si>
  <si>
    <t>Result = 0.00585</t>
  </si>
  <si>
    <t>Step 8: Calculate Monthly Payment</t>
  </si>
  <si>
    <t>Monthly Payment = Loan Amount × Result from Step 7</t>
  </si>
  <si>
    <t>£200,000 × 0.00585</t>
  </si>
  <si>
    <t>Monthly Payment = £1,169</t>
  </si>
  <si>
    <t>Verification of First Month</t>
  </si>
  <si>
    <t>Interest = £200,000 × 0.004167 = £833</t>
  </si>
  <si>
    <t>Capital Repaid = £1,169 − £833 = £336</t>
  </si>
  <si>
    <t>New Balance = £200,000 − £336 = £199,664</t>
  </si>
  <si>
    <r>
      <t xml:space="preserve">Product Name: HIGHLTV(V)
Product Type: High-LTV Product
</t>
    </r>
    <r>
      <rPr>
        <b/>
        <sz val="11"/>
        <color theme="1"/>
        <rFont val="Aptos"/>
        <family val="2"/>
      </rPr>
      <t>Eligibility: LTV ≤ 90%</t>
    </r>
    <r>
      <rPr>
        <sz val="11"/>
        <color theme="1"/>
        <rFont val="Aptos"/>
        <family val="2"/>
      </rPr>
      <t xml:space="preserve">
Initial Rate:	5.35%
Reversion Rate:	8.14%
ERC:	1% for 2 Years
APRC:	6.51%
Monthly Payment: Calculate</t>
    </r>
  </si>
  <si>
    <t>Deposit amount</t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</si>
  <si>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Applicant age cannot be &lt; 18 years or Application age after the term is &gt; 70yrs or Applicant Occuptation cannot be Homemaker, unemployed</t>
    </r>
  </si>
  <si>
    <t>Product Recommendation Agent</t>
  </si>
  <si>
    <t>Check the Applicant Credit Status</t>
  </si>
  <si>
    <t>Check No unsatisfied CCJs</t>
  </si>
  <si>
    <t>Check No default</t>
  </si>
  <si>
    <t>Check No Active or recent bankruptcy</t>
  </si>
  <si>
    <t>IF any above Fails THEN Credit Status = Fail</t>
  </si>
  <si>
    <t>IF Credit Score Pass
AND CCJ Pass
AND Default Pass
AND Bankruptcy Pass
THEN Credit Status = Pass</t>
  </si>
  <si>
    <t>Check Credit Score &gt; 750 = Pass</t>
  </si>
  <si>
    <t>Affordability Assessment Agent</t>
  </si>
  <si>
    <t>Credit Assessment Agent</t>
  </si>
  <si>
    <t>Household Expense</t>
  </si>
  <si>
    <t xml:space="preserve">Check the Applicant Affordability </t>
  </si>
  <si>
    <t>Total Expenditure = Household Expense + Existing Mortgage + Existing Credit Card</t>
  </si>
  <si>
    <t>Annual Income - Total Expenditure = Surplus / Deficit</t>
  </si>
  <si>
    <t xml:space="preserve">Success: </t>
  </si>
  <si>
    <t>IF Surplus &gt;  £1500 THEN Affordability Status = Pass</t>
  </si>
  <si>
    <t>IF Not Surplus  THEN Affordability Status = Fail</t>
  </si>
  <si>
    <t>Documents Assessment Agent</t>
  </si>
  <si>
    <t>Check &amp; verify the uploaded Document</t>
  </si>
  <si>
    <t>User should upload document for Verification ( Passpost, Salary Slip, Account Statement)</t>
  </si>
  <si>
    <t xml:space="preserve">Processing </t>
  </si>
  <si>
    <t>Documents extract data (Applicant Name, Gross Salary, Net Salary, Passport Info)</t>
  </si>
  <si>
    <t xml:space="preserve">Output </t>
  </si>
  <si>
    <t xml:space="preserve">Check If Applicant Name matches Bank statement Name
Check if Applicant Name matches Payslip Name                                                                                                 Check if Applicant Name matches Passport Name
Set Document Status: Pass </t>
  </si>
  <si>
    <t>IF Document Status = Pass</t>
  </si>
  <si>
    <t>IF Document Status = Fail</t>
  </si>
  <si>
    <t>Underwriter Assessment Agent</t>
  </si>
  <si>
    <t>Input (Capture)</t>
  </si>
  <si>
    <t>Verify the information submitted and ask additional information if required</t>
  </si>
  <si>
    <t xml:space="preserve">LTV </t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</si>
  <si>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No Product Found  if LTV is greater than 90%</t>
    </r>
  </si>
  <si>
    <t xml:space="preserve">Check  all the result </t>
  </si>
  <si>
    <t>Check the recommended Product</t>
  </si>
  <si>
    <t>IF All the result = Pass THEN Recommedation to Underwriter = Applicantion Profile looks good can be moved to Next Stage</t>
  </si>
  <si>
    <t>IF Any result = Fail THEN Recommedation to Undewrtier = Manual Intervention is required Refer To Underwriter</t>
  </si>
  <si>
    <t xml:space="preserve">Underwriter status </t>
  </si>
  <si>
    <t>SET Underwriter status  = Pass and SET Underwriter Special Conditions = Not Required</t>
  </si>
  <si>
    <t>Capture Underwriter status  = Pass and SET Underwriter Special Conditions = Based on the inputts</t>
  </si>
  <si>
    <t>Offer Generate Agent</t>
  </si>
  <si>
    <t>Offer Generation for Customer and Accpetance from Customer</t>
  </si>
  <si>
    <t>Check for all the data IF Found</t>
  </si>
  <si>
    <t>Generate OFFER Date = Today()</t>
  </si>
  <si>
    <t>Generate OFFER Expiry Date = Today + 30 Days</t>
  </si>
  <si>
    <t>Generate Offer status = New</t>
  </si>
  <si>
    <t>Generate Offer Reference Number = Unquie Number</t>
  </si>
  <si>
    <t>Special conditions (If Underwriter has provided)</t>
  </si>
  <si>
    <r>
      <t xml:space="preserve">Success: </t>
    </r>
    <r>
      <rPr>
        <sz val="11"/>
        <color theme="1"/>
        <rFont val="Aptos"/>
        <family val="2"/>
      </rPr>
      <t xml:space="preserve">Generate a document with all the information </t>
    </r>
  </si>
  <si>
    <t>Offer acceptance Agent</t>
  </si>
  <si>
    <t xml:space="preserve">Capture the offer acceptance of customer </t>
  </si>
  <si>
    <r>
      <t xml:space="preserve">Success: </t>
    </r>
    <r>
      <rPr>
        <sz val="11"/>
        <color theme="1"/>
        <rFont val="Aptos"/>
        <family val="2"/>
      </rPr>
      <t>Show message Offer accepted by the customer, move to next stage</t>
    </r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</si>
  <si>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Show message Offer is not accepted by the customer</t>
    </r>
  </si>
  <si>
    <t>IF Customer confirmation = No Then Acceptance status = Not Accepted</t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</si>
  <si>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 xml:space="preserve">: Do not Generate if any information is missing </t>
    </r>
  </si>
  <si>
    <t>Legal and Conveyancing Agent</t>
  </si>
  <si>
    <t>Caputure and Veirfy the Property Information</t>
  </si>
  <si>
    <t>Property Title Verification Status</t>
  </si>
  <si>
    <t>Check for all the Status = Pass</t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</si>
  <si>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All Legal and Conveyancing is completed if all the status = Pass</t>
    </r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</si>
  <si>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If any of the status = Fail Then Not All Legal and Conveyancing has  passed</t>
    </r>
  </si>
  <si>
    <t>Pre-completion Agent</t>
  </si>
  <si>
    <t>Pre-verify before relase of Funds</t>
  </si>
  <si>
    <t>Final Affordability Status</t>
  </si>
  <si>
    <t>Check all the Status = Pass</t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</si>
  <si>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All Pre-Completion Check result = Pass</t>
    </r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</si>
  <si>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All Pre-Completion Check result = Fail, Do not move to Next stage</t>
    </r>
  </si>
  <si>
    <t>Final Legal Completion Status</t>
  </si>
  <si>
    <t>Completion Agent</t>
  </si>
  <si>
    <t xml:space="preserve">Release fund to Solicitor </t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</si>
  <si>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IF Fund Release Status = True THEN Show message " Fund has been released to the solicitor "</t>
    </r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</si>
  <si>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IF Fund Release Status = False THEN Show message "Fund has not yet been released to the solicitor"</t>
    </r>
  </si>
  <si>
    <t xml:space="preserve"> IF Fund Release Status = True THEN Set Release date = Today()</t>
  </si>
  <si>
    <t xml:space="preserve"> IF Completion Readiness Status = True  THEN Set Completion Date = Today() + 5 days</t>
  </si>
  <si>
    <t>Set Acceptance Status = Accepted AND Generate Acceptance Date = Today()  IF Customer confirmation = Yes</t>
  </si>
  <si>
    <t>Mortgage Completion Agent</t>
  </si>
  <si>
    <t>Create Mortgage Account and send Information to servicing System</t>
  </si>
  <si>
    <t>Set Mortgage account Number = Unquie number</t>
  </si>
  <si>
    <t>Set Mortgage Status = Completed</t>
  </si>
  <si>
    <r>
      <rPr>
        <b/>
        <sz val="11"/>
        <color theme="1"/>
        <rFont val="Aptos"/>
        <family val="2"/>
      </rPr>
      <t>Success</t>
    </r>
    <r>
      <rPr>
        <sz val="11"/>
        <color theme="1"/>
        <rFont val="Aptos"/>
        <family val="2"/>
      </rPr>
      <t>: IF Mortgage Status = Completed THEN Show message "Mortgage has been marked as completed and ready to send it to servicing system "</t>
    </r>
  </si>
  <si>
    <r>
      <rPr>
        <b/>
        <sz val="11"/>
        <color theme="1"/>
        <rFont val="Aptos"/>
        <family val="2"/>
      </rPr>
      <t>Failure</t>
    </r>
    <r>
      <rPr>
        <sz val="11"/>
        <color theme="1"/>
        <rFont val="Aptos"/>
        <family val="2"/>
      </rPr>
      <t>: IF Mortgage Status = Is not completed Show message "Completion officers need to review the same"</t>
    </r>
  </si>
  <si>
    <t>Mortgage Servicing</t>
  </si>
  <si>
    <t>Loan Activation</t>
  </si>
  <si>
    <t>Loan Account Creation</t>
  </si>
  <si>
    <t>Disbursement Processing</t>
  </si>
  <si>
    <t>Create loan account record in core system</t>
  </si>
  <si>
    <t>Record disbursed amount</t>
  </si>
  <si>
    <t>Generate amortization schedule</t>
  </si>
  <si>
    <t>Loan Account</t>
  </si>
  <si>
    <t>Disbursement</t>
  </si>
  <si>
    <t>Repayment Schedule</t>
  </si>
  <si>
    <t>Loan Account Number</t>
  </si>
  <si>
    <t>Customer ID</t>
  </si>
  <si>
    <t>Disbursed Amount</t>
  </si>
  <si>
    <t>EMI Amount</t>
  </si>
  <si>
    <t>First Payment Date</t>
  </si>
  <si>
    <t>Servicing Ops</t>
  </si>
  <si>
    <t>Customer Onboarding</t>
  </si>
  <si>
    <t>Customer Service</t>
  </si>
  <si>
    <t>Payments Team</t>
  </si>
  <si>
    <t>Welcome Letter No/ID</t>
  </si>
  <si>
    <t>Delivery Status</t>
  </si>
  <si>
    <t>Account Number</t>
  </si>
  <si>
    <t>DD Status</t>
  </si>
  <si>
    <t>Payment Date</t>
  </si>
  <si>
    <t>Communication</t>
  </si>
  <si>
    <t>Payment Mandate</t>
  </si>
  <si>
    <t>Payment Schedule</t>
  </si>
  <si>
    <t>Generate welcome letter</t>
  </si>
  <si>
    <t>Deliver welcome letter (Email/Post)</t>
  </si>
  <si>
    <t>Capture bank details</t>
  </si>
  <si>
    <t>Welcome Communication</t>
  </si>
  <si>
    <t>Payment Scheduling</t>
  </si>
  <si>
    <t>Link customer to loan account</t>
  </si>
  <si>
    <t>Validate loan terms (rate, tenure, type)</t>
  </si>
  <si>
    <t>Assign first payment date</t>
  </si>
  <si>
    <t>Loan Setup Validation</t>
  </si>
  <si>
    <t>Repayment Setup</t>
  </si>
  <si>
    <t>Payment Setup</t>
  </si>
  <si>
    <t>Define repayment cycle</t>
  </si>
  <si>
    <t>Schedule first payment collection</t>
  </si>
  <si>
    <t xml:space="preserve">Payment Frequency </t>
  </si>
  <si>
    <t>Ongoing Mortgage Servicing</t>
  </si>
  <si>
    <t>Interest Accrual</t>
  </si>
  <si>
    <t>Statement Management</t>
  </si>
  <si>
    <t>Calculate daily/monthly interest</t>
  </si>
  <si>
    <t>Apply interest to loan balance</t>
  </si>
  <si>
    <t>Generate annual statement</t>
  </si>
  <si>
    <t>Deliver statement</t>
  </si>
  <si>
    <t>Interest</t>
  </si>
  <si>
    <t>Statement</t>
  </si>
  <si>
    <t>Interest Amount</t>
  </si>
  <si>
    <t>Statement ID</t>
  </si>
  <si>
    <t>Statement Delivery Status</t>
  </si>
  <si>
    <t>Rate Monitoring</t>
  </si>
  <si>
    <t>Track fixed-rate expiry</t>
  </si>
  <si>
    <t>Product</t>
  </si>
  <si>
    <t>Rate Expiry Date</t>
  </si>
  <si>
    <t>Rate Change Processing</t>
  </si>
  <si>
    <t>Retrieve/apply new interest rate</t>
  </si>
  <si>
    <t>New Rate</t>
  </si>
  <si>
    <t>EMI Recalculation</t>
  </si>
  <si>
    <t>Recalculate repayment amount</t>
  </si>
  <si>
    <t>Customer Notification</t>
  </si>
  <si>
    <t>Notify rate/payment change</t>
  </si>
  <si>
    <t>Notification ID</t>
  </si>
  <si>
    <t>Product Switch</t>
  </si>
  <si>
    <t>Apply new product terms</t>
  </si>
  <si>
    <t>Request Capture</t>
  </si>
  <si>
    <t>Capture servicing request</t>
  </si>
  <si>
    <t>Request</t>
  </si>
  <si>
    <t>Request Type</t>
  </si>
  <si>
    <t>Request Validation</t>
  </si>
  <si>
    <t>Validate eligibility rules</t>
  </si>
  <si>
    <t>Eligibility Flag</t>
  </si>
  <si>
    <t>Overpayment Processing</t>
  </si>
  <si>
    <t>Apply lump sum payment</t>
  </si>
  <si>
    <t>Payment</t>
  </si>
  <si>
    <t>Overpayment Amount</t>
  </si>
  <si>
    <t>Partial Redemption</t>
  </si>
  <si>
    <t>Reduce outstanding principal</t>
  </si>
  <si>
    <t>Principal Balance</t>
  </si>
  <si>
    <t>Term Modification</t>
  </si>
  <si>
    <t>Update loan tenure</t>
  </si>
  <si>
    <t>Term</t>
  </si>
  <si>
    <t>Payment Modification</t>
  </si>
  <si>
    <t>Change repayment date/type</t>
  </si>
  <si>
    <t>Customer Data Update</t>
  </si>
  <si>
    <t>Update bank/contact details</t>
  </si>
  <si>
    <t>Bank Details</t>
  </si>
  <si>
    <t>Payment Processing</t>
  </si>
  <si>
    <t>Initiate Direct Debit collection</t>
  </si>
  <si>
    <t>Payment Amount</t>
  </si>
  <si>
    <t>Post payment to account</t>
  </si>
  <si>
    <t>Payment Status</t>
  </si>
  <si>
    <t>Payment Reconciliation</t>
  </si>
  <si>
    <t>Update outstanding balance</t>
  </si>
  <si>
    <t>Outstanding Balance</t>
  </si>
  <si>
    <t>Payment Monitoring</t>
  </si>
  <si>
    <t>Detect missed/failed payments</t>
  </si>
  <si>
    <t>Missed Payment Flag</t>
  </si>
  <si>
    <t>Risk Team</t>
  </si>
  <si>
    <t>Behaviour Analysis</t>
  </si>
  <si>
    <t>Assess customer risk signals</t>
  </si>
  <si>
    <t>Risk Profile</t>
  </si>
  <si>
    <t>Risk Score</t>
  </si>
  <si>
    <t>Alert Generation</t>
  </si>
  <si>
    <t>Generate early warning alerts</t>
  </si>
  <si>
    <t>Alert</t>
  </si>
  <si>
    <t>Alert ID</t>
  </si>
  <si>
    <t>Customer Outreach</t>
  </si>
  <si>
    <t>Initiate customer contact</t>
  </si>
  <si>
    <t>Contact Status</t>
  </si>
  <si>
    <t>Arrears Calculation</t>
  </si>
  <si>
    <t>Calculate overdue amount</t>
  </si>
  <si>
    <t>Arrears</t>
  </si>
  <si>
    <t>Arrears Amount</t>
  </si>
  <si>
    <t>Collections</t>
  </si>
  <si>
    <t>Arrears Notification</t>
  </si>
  <si>
    <t>Send arrears notice</t>
  </si>
  <si>
    <t>Notice Date</t>
  </si>
  <si>
    <t>Forbearance Setup</t>
  </si>
  <si>
    <t>Create repayment plan</t>
  </si>
  <si>
    <t>Repayment Plan</t>
  </si>
  <si>
    <t>Plan Type</t>
  </si>
  <si>
    <t>Payment Recovery</t>
  </si>
  <si>
    <t>Apply arrears payment</t>
  </si>
  <si>
    <t>Cleared Amount</t>
  </si>
  <si>
    <t>Status Normalization</t>
  </si>
  <si>
    <t>Return account to active</t>
  </si>
  <si>
    <t>Account Status</t>
  </si>
  <si>
    <t>Legal Initiation</t>
  </si>
  <si>
    <t>Open legal case</t>
  </si>
  <si>
    <t>Legal Case</t>
  </si>
  <si>
    <t>Case ID</t>
  </si>
  <si>
    <t>Property Valuation</t>
  </si>
  <si>
    <t>Assess collateral value</t>
  </si>
  <si>
    <t>Valuation Team</t>
  </si>
  <si>
    <t>Property Sale</t>
  </si>
  <si>
    <t>Execute property sale</t>
  </si>
  <si>
    <t>Sale Value</t>
  </si>
  <si>
    <t>Settlement Processing</t>
  </si>
  <si>
    <t>Calculate shortfall/surplus</t>
  </si>
  <si>
    <t>Settlement</t>
  </si>
  <si>
    <t>Shortfall Amount</t>
  </si>
  <si>
    <t>Repayments Tracking (Possession/Sale)</t>
  </si>
  <si>
    <t>Repayments Tracking(Payment Execution)</t>
  </si>
  <si>
    <t>Repayments Tracking(Early Monitoring)</t>
  </si>
  <si>
    <t>Repayments Tracking (Arrears Mgmt &amp; Resolution)</t>
  </si>
  <si>
    <t>Repayments Tracking (Redemption)</t>
  </si>
  <si>
    <t>Redemption Request</t>
  </si>
  <si>
    <t>Capture payoff request</t>
  </si>
  <si>
    <t>Redemption</t>
  </si>
  <si>
    <t>Redemption Date</t>
  </si>
  <si>
    <t>Payoff Calculation</t>
  </si>
  <si>
    <t>Calculate settlement amount</t>
  </si>
  <si>
    <t>Settlement Amount</t>
  </si>
  <si>
    <t>Statement Generation</t>
  </si>
  <si>
    <t>Issue redemption statement</t>
  </si>
  <si>
    <t>Payment Settlement</t>
  </si>
  <si>
    <t>Receive full repayment</t>
  </si>
  <si>
    <t>Paid Amount</t>
  </si>
  <si>
    <t>Discharge &amp; Closure</t>
  </si>
  <si>
    <t>Account Closure</t>
  </si>
  <si>
    <t>Close loan account in system</t>
  </si>
  <si>
    <t>Security Release</t>
  </si>
  <si>
    <t>Remove mortgage lien</t>
  </si>
  <si>
    <t>Security</t>
  </si>
  <si>
    <t>Discharge Ref</t>
  </si>
  <si>
    <t>Registry Update</t>
  </si>
  <si>
    <t>Update land registry</t>
  </si>
  <si>
    <t>Registry</t>
  </si>
  <si>
    <t>DS1/eDS1</t>
  </si>
  <si>
    <t>Confirm closure to customer</t>
  </si>
  <si>
    <t>Closure Confirmation</t>
  </si>
  <si>
    <t>Validate DD mandate with BACS</t>
  </si>
  <si>
    <t>Collateral Linking</t>
  </si>
  <si>
    <t>Lien Registration</t>
  </si>
  <si>
    <t>Associate the mortgaged property with the newly created loan account</t>
  </si>
  <si>
    <t>Create and record the lender's security interest against the collateral property</t>
  </si>
  <si>
    <t>Collateral</t>
  </si>
  <si>
    <t>Security Interest</t>
  </si>
  <si>
    <t>Property pledged as security for the mortgage loan</t>
  </si>
  <si>
    <t>Legal charge registered against the property</t>
  </si>
  <si>
    <t>Collateral ID</t>
  </si>
  <si>
    <t>Lien Reference Number</t>
  </si>
  <si>
    <t>Unique identifier of the secured property</t>
  </si>
  <si>
    <t>Unique identifier of the registered charge/lien</t>
  </si>
  <si>
    <t>Legal / Servicing Ops</t>
  </si>
  <si>
    <t>Recalculate repayment schedule following modification to loan terms</t>
  </si>
  <si>
    <t>Revised monthly instalment amount</t>
  </si>
  <si>
    <t>Establish the mortgage account and associated security following loan disbursement</t>
  </si>
  <si>
    <t xml:space="preserve">Establish the mortgage account </t>
  </si>
  <si>
    <t>Release security and formally close the mortgage account</t>
  </si>
  <si>
    <t>Mortgage account maintained throughout the servicing lifecycle</t>
  </si>
  <si>
    <t>Created account linked to the customer</t>
  </si>
  <si>
    <t>Mortgage funds released to purchase or refinance the property</t>
  </si>
  <si>
    <t>Planned repayment schedule for the life of the loan</t>
  </si>
  <si>
    <t>Customer communication generated during servicing activities</t>
  </si>
  <si>
    <t>Authority provided by customer for payment collection</t>
  </si>
  <si>
    <t>Scheduled repayment frequency and timing</t>
  </si>
  <si>
    <t>Interest accrued on outstanding mortgage balance</t>
  </si>
  <si>
    <t>Periodic account summary provided to customer</t>
  </si>
  <si>
    <t>Mortgage product details and lifecycle</t>
  </si>
  <si>
    <t>Pricing information applicable to the mortgage</t>
  </si>
  <si>
    <t>Unique identifier assigned to the mortgage account</t>
  </si>
  <si>
    <t>Unique identifier assigned to the customer</t>
  </si>
  <si>
    <t xml:space="preserve">Amount released to the customer </t>
  </si>
  <si>
    <t>Applicable rate associated with the mortgage product</t>
  </si>
  <si>
    <t>Confirmation issued upon mortgage closure</t>
  </si>
  <si>
    <t>Registry discharge document reference</t>
  </si>
  <si>
    <t>Scheduled monthly mortgage repayment amount</t>
  </si>
  <si>
    <t>Date on which the first mortgage payment is due</t>
  </si>
  <si>
    <t>Unique reference of the welcome communication</t>
  </si>
  <si>
    <t>Status of communication delivery</t>
  </si>
  <si>
    <t>Customer bank account used for repayments</t>
  </si>
  <si>
    <t>Direct Debit mandate status</t>
  </si>
  <si>
    <t>Frequency of repayment collection</t>
  </si>
  <si>
    <t>Scheduled date of repayment collection</t>
  </si>
  <si>
    <t>Amount of interest applied to the account</t>
  </si>
  <si>
    <t>Unique statement reference</t>
  </si>
  <si>
    <t>Status of statement delivery</t>
  </si>
  <si>
    <t>Date on which the fixed-rate period ends</t>
  </si>
  <si>
    <t>Updated mortgage interest rate</t>
  </si>
  <si>
    <t>Reference for customer notification</t>
  </si>
  <si>
    <t>Mortgage product selected or applied</t>
  </si>
  <si>
    <t>Type of customer servicing request</t>
  </si>
  <si>
    <t>Indicator showing whether the request meets policy criteria</t>
  </si>
  <si>
    <t>Additional payment made above scheduled instalment</t>
  </si>
  <si>
    <t>Outstanding principal loan amount</t>
  </si>
  <si>
    <t>Remaining or revised mortgage tenure</t>
  </si>
  <si>
    <t>Amount collected or due for repayment</t>
  </si>
  <si>
    <t>Status of mortgage payment processing</t>
  </si>
  <si>
    <t>Remaining balance after payment application</t>
  </si>
  <si>
    <t>Indicator of a missed or failed payment</t>
  </si>
  <si>
    <t>Calculated measure of borrower repayment risk</t>
  </si>
  <si>
    <t>Unique identifier for servicing alert</t>
  </si>
  <si>
    <t>Status of customer outreach activity</t>
  </si>
  <si>
    <t>Total overdue balance outstanding</t>
  </si>
  <si>
    <t>Date arrears notification was issued</t>
  </si>
  <si>
    <t>Type of agreed repayment arrangement</t>
  </si>
  <si>
    <t>Amount recovered against arrears</t>
  </si>
  <si>
    <t>Current servicing status of the mortgage account</t>
  </si>
  <si>
    <t>Unique identifier for legal recovery case</t>
  </si>
  <si>
    <t>Assessed market value of the mortgaged property</t>
  </si>
  <si>
    <t>Value realized from sale of the property</t>
  </si>
  <si>
    <t>Remaining debt after settlement proceeds applied</t>
  </si>
  <si>
    <t>Requested date for mortgage redemption</t>
  </si>
  <si>
    <t>Amount required to fully redeem the mortgage</t>
  </si>
  <si>
    <t>Amount received towards final settlement</t>
  </si>
  <si>
    <t>Reference number for security discharge</t>
  </si>
  <si>
    <t>Plain Text</t>
  </si>
  <si>
    <t>Term = 25 Years</t>
  </si>
  <si>
    <t>Completion Status = Completed</t>
  </si>
  <si>
    <t>IF Completion Status = Completed</t>
  </si>
  <si>
    <t>THEN</t>
  </si>
  <si>
    <t>Generate Mortgage Account Number</t>
  </si>
  <si>
    <t>Generate First Payment Date</t>
  </si>
  <si>
    <t>Create Repayment Schedule</t>
  </si>
  <si>
    <t>Set Mortgage Status = Active</t>
  </si>
  <si>
    <t>Success</t>
  </si>
  <si>
    <t>Mortgage Status = Active</t>
  </si>
  <si>
    <t>First Payment Date = 01-Aug-2026</t>
  </si>
  <si>
    <t>Failure</t>
  </si>
  <si>
    <t>Completion Status = Pending</t>
  </si>
  <si>
    <t>Mortgage Account cannot be created</t>
  </si>
  <si>
    <t>Loan Account Activation Agent</t>
  </si>
  <si>
    <t>Create and activate mortgage account in servicing platform</t>
  </si>
  <si>
    <t>Fund Release Status = Release</t>
  </si>
  <si>
    <t>AND Fund Release Status = Release</t>
  </si>
  <si>
    <t>Repayment Schedule Agent</t>
  </si>
  <si>
    <t>Generate repayment plan.</t>
  </si>
  <si>
    <t>Monthly Interest Rate=</t>
  </si>
  <si>
    <t>Number of Payments=</t>
  </si>
  <si>
    <t>25*12</t>
  </si>
  <si>
    <t>Loan Amount = £300,000</t>
  </si>
  <si>
    <t>Interest Rate = 4.79%</t>
  </si>
  <si>
    <t>Product = 5-Year Fixed Rate</t>
  </si>
  <si>
    <t>Mortgage Account Number = MORT700001</t>
  </si>
  <si>
    <t>Loan = £300,000</t>
  </si>
  <si>
    <t>£1,712</t>
  </si>
  <si>
    <t>First Month Breakdown</t>
  </si>
  <si>
    <t>= £300,000 × 0.0039917</t>
  </si>
  <si>
    <t>= £1,197.51</t>
  </si>
  <si>
    <t>Principal</t>
  </si>
  <si>
    <t>= £1,712 - £1,197.51</t>
  </si>
  <si>
    <t>= £514.49</t>
  </si>
  <si>
    <t>Remaining Balance</t>
  </si>
  <si>
    <t>= £300,000 - £514.49</t>
  </si>
  <si>
    <t>= £299,485.51</t>
  </si>
  <si>
    <t>300 Monthly Instalments Generated</t>
  </si>
  <si>
    <t>Monthly Payment = £1,712</t>
  </si>
  <si>
    <t>Welcome &amp; Repayment Setup Agent</t>
  </si>
  <si>
    <t>Set up customer repayment arrangements.</t>
  </si>
  <si>
    <t>Monthly Payment Amount</t>
  </si>
  <si>
    <t>Direct Debit Mandate</t>
  </si>
  <si>
    <t>Validate Sort Code</t>
  </si>
  <si>
    <t>Validate Account Number</t>
  </si>
  <si>
    <t>Validate Direct Debit Mandate</t>
  </si>
  <si>
    <t>Create Monthly Collection Schedule</t>
  </si>
  <si>
    <t>Business Rule</t>
  </si>
  <si>
    <t>A valid Direct Debit Instruction must exist</t>
  </si>
  <si>
    <t>before first collection.</t>
  </si>
  <si>
    <t>Direct Debit Status = Active</t>
  </si>
  <si>
    <t>Welcome Pack Issued</t>
  </si>
  <si>
    <t>Mandate Missing</t>
  </si>
  <si>
    <t>Payment Collection Agent</t>
  </si>
  <si>
    <t>Collect customer repayments.</t>
  </si>
  <si>
    <t>Collection Date = 01-Aug-2026</t>
  </si>
  <si>
    <t>Submit Direct Debit Collection</t>
  </si>
  <si>
    <t>Receive Bank Response</t>
  </si>
  <si>
    <t>Amount Collected = £1,712</t>
  </si>
  <si>
    <t>Collection Result = Successful</t>
  </si>
  <si>
    <t>Amount Collected = £0</t>
  </si>
  <si>
    <t>Reason = Insufficient Funds</t>
  </si>
  <si>
    <t>Account Status = Current</t>
  </si>
  <si>
    <t>Move To Payment Monitoring</t>
  </si>
  <si>
    <t xml:space="preserve">Failure </t>
  </si>
  <si>
    <t>Product &amp; Rate Event Agent</t>
  </si>
  <si>
    <t>Manage fixed-rate expiry events.</t>
  </si>
  <si>
    <t>Current Product = Fixed 5 Year</t>
  </si>
  <si>
    <t>Current Rate = 4.79%</t>
  </si>
  <si>
    <t>No Product Available/Move To Standard Variable Rate</t>
  </si>
  <si>
    <t>No Response Received/Move To Standard Variable Rate</t>
  </si>
  <si>
    <t>Customer Servicing Request Agent</t>
  </si>
  <si>
    <t>Process customer changes.</t>
  </si>
  <si>
    <t>Outstanding Balance = £270,000</t>
  </si>
  <si>
    <t>Overpayment = £15,000</t>
  </si>
  <si>
    <t>New Balance</t>
  </si>
  <si>
    <t>= £270,000 - £15,000</t>
  </si>
  <si>
    <t>= £255,000</t>
  </si>
  <si>
    <t>Overpayment Applied</t>
  </si>
  <si>
    <t>Mortgage Balance Reduced</t>
  </si>
  <si>
    <t>Requested Date = 31st</t>
  </si>
  <si>
    <t>Input-Example 1 – Overpayment</t>
  </si>
  <si>
    <t>Current Payment Date = 1st</t>
  </si>
  <si>
    <t>Input-Example 2 – Change Payment Date</t>
  </si>
  <si>
    <t>Requested Date = 15th</t>
  </si>
  <si>
    <t>Payment Date Updated</t>
  </si>
  <si>
    <t>Date Not Allowed</t>
  </si>
  <si>
    <t>Payment Monitoring Agent</t>
  </si>
  <si>
    <t>Days Past Due = 30</t>
  </si>
  <si>
    <t>Generate Risk Alert</t>
  </si>
  <si>
    <t>1 Payment Missed</t>
  </si>
  <si>
    <t>Risk Level = Medium</t>
  </si>
  <si>
    <t>Monthly Payment Due = £1,712</t>
  </si>
  <si>
    <t>Identify emerging repayment risks.</t>
  </si>
  <si>
    <t>Payment Received = £0</t>
  </si>
  <si>
    <t>Typical Rules</t>
  </si>
  <si>
    <t>1 Missed Payment</t>
  </si>
  <si>
    <t>Risk Score = Medium</t>
  </si>
  <si>
    <t>2 Consecutive Missed Payments</t>
  </si>
  <si>
    <t>Risk Score = High</t>
  </si>
  <si>
    <t>3 Consecutive Missed Payments</t>
  </si>
  <si>
    <t>Refer To Arrears Team</t>
  </si>
  <si>
    <t>Payments Received</t>
  </si>
  <si>
    <t>No Action Required</t>
  </si>
  <si>
    <t>Arrears Management Agent</t>
  </si>
  <si>
    <t>Missed Payments = 3</t>
  </si>
  <si>
    <t>Business Rules</t>
  </si>
  <si>
    <t>Customer Not Contactable</t>
  </si>
  <si>
    <t>Manage delinquent accounts.</t>
  </si>
  <si>
    <t>= £1,712 × 3</t>
  </si>
  <si>
    <t>= £5,136</t>
  </si>
  <si>
    <t>Customer Engaged</t>
  </si>
  <si>
    <t>Repayment Arrangement Discussed</t>
  </si>
  <si>
    <t>Possession &amp; Property Sale Agent</t>
  </si>
  <si>
    <t>Handle property sale following legal recovery.</t>
  </si>
  <si>
    <t>Example A – Surplus</t>
  </si>
  <si>
    <t>Outstanding Mortgage = £240,000</t>
  </si>
  <si>
    <t>Sale Price = £310,000</t>
  </si>
  <si>
    <t>Surplus</t>
  </si>
  <si>
    <t>= £310,000 - £240,000</t>
  </si>
  <si>
    <t>= £70,000</t>
  </si>
  <si>
    <t>Mortgage Cleared</t>
  </si>
  <si>
    <t>Customer Receives Surplus</t>
  </si>
  <si>
    <t>Example B – Shortfall</t>
  </si>
  <si>
    <t>Sale Price = £220,000</t>
  </si>
  <si>
    <t>Shortfall</t>
  </si>
  <si>
    <t>= £240,000 - £220,000</t>
  </si>
  <si>
    <t>= £20,000</t>
  </si>
  <si>
    <t>Residual Debt = £20,000</t>
  </si>
  <si>
    <t>Redemption Quote Agent</t>
  </si>
  <si>
    <t>Generate settlement amount.</t>
  </si>
  <si>
    <t>Outstanding Principal = £245,000</t>
  </si>
  <si>
    <t>Accrued Interest = £650</t>
  </si>
  <si>
    <t>Early Repayment Charge = 1%</t>
  </si>
  <si>
    <t>ERC Calculation</t>
  </si>
  <si>
    <t>= £245,000 × 1%</t>
  </si>
  <si>
    <t>= £2,450</t>
  </si>
  <si>
    <t>Redemption Amount</t>
  </si>
  <si>
    <t>= £245,000 + £650 + £2,450</t>
  </si>
  <si>
    <t>= £248,100</t>
  </si>
  <si>
    <t>Redemption Statement Issued</t>
  </si>
  <si>
    <t>Amount Due = £248,100</t>
  </si>
  <si>
    <t>Apply settlement funds.</t>
  </si>
  <si>
    <t>Required Amount = £248,100</t>
  </si>
  <si>
    <t>Funds Received = £248,100</t>
  </si>
  <si>
    <t>Balance = £0</t>
  </si>
  <si>
    <t>Mortgage Status = Redeemed</t>
  </si>
  <si>
    <t>Funds Received = £240,000</t>
  </si>
  <si>
    <t>Outstanding Shortfall = £8,100</t>
  </si>
  <si>
    <t>Discharge legal charge and close account.</t>
  </si>
  <si>
    <t>England &amp; Wales</t>
  </si>
  <si>
    <t>Generate e-DS1</t>
  </si>
  <si>
    <t>Scotland</t>
  </si>
  <si>
    <t>Generate Discharge of Standard Security</t>
  </si>
  <si>
    <t>Northern Ireland</t>
  </si>
  <si>
    <t>Generate Release/Vacate Process</t>
  </si>
  <si>
    <t>Outstanding Balance Must Equal £0</t>
  </si>
  <si>
    <t>No Active Legal Cases</t>
  </si>
  <si>
    <t>Mortgage Status = Closed</t>
  </si>
  <si>
    <t>Property Charge Released</t>
  </si>
  <si>
    <t>Account Archived</t>
  </si>
  <si>
    <t>Outstanding Fee = £250</t>
  </si>
  <si>
    <t>Mortgage Cannot Be Closed</t>
  </si>
  <si>
    <t>Redemption Processing Agent</t>
  </si>
  <si>
    <t>Mortgage Discharge &amp; Closure Agent</t>
  </si>
  <si>
    <t>Forbearance &amp; Support Agent</t>
  </si>
  <si>
    <t>Assess assistance options.</t>
  </si>
  <si>
    <t>Original Salary = £65,000</t>
  </si>
  <si>
    <t>Current Salary = £42,000</t>
  </si>
  <si>
    <t>Reduction:</t>
  </si>
  <si>
    <t>£65,000 - £42,000</t>
  </si>
  <si>
    <t>= £23,000</t>
  </si>
  <si>
    <t>Reduction %</t>
  </si>
  <si>
    <t>Temporary Reduced Payments</t>
  </si>
  <si>
    <t>Term Extension</t>
  </si>
  <si>
    <t>Monthly Payment Reduced</t>
  </si>
  <si>
    <t>£1,712 → £1,150</t>
  </si>
  <si>
    <t>Duration = 6 Months</t>
  </si>
  <si>
    <t>Arrangement Refused</t>
  </si>
  <si>
    <t>Expiry Date = 30-Jun-2031</t>
  </si>
  <si>
    <t>Original Mortgage Amount = £300,000</t>
  </si>
  <si>
    <t>Payments Made = 60 Months</t>
  </si>
  <si>
    <t>Outstanding Balance ≈ £266,000</t>
  </si>
  <si>
    <t>Remaining Mortgage Term = 20 Years</t>
  </si>
  <si>
    <t>Customer Accepted Product Transfer</t>
  </si>
  <si>
    <t>New Product = Retention Fixed 3 Year</t>
  </si>
  <si>
    <t>New Rate = 5.24%</t>
  </si>
  <si>
    <t>New Monthly Payment = £1,786</t>
  </si>
  <si>
    <t>Effective Date = 01-Jul-2031</t>
  </si>
  <si>
    <t>Mortgage Continues Under New Product</t>
  </si>
  <si>
    <t>No Eligible Products Available</t>
  </si>
  <si>
    <t>Move Customer To SVR</t>
  </si>
  <si>
    <t>Rate Applied = 7.24%</t>
  </si>
  <si>
    <t>Monthly Payment = £2,086</t>
  </si>
  <si>
    <t>Customer Notification Sent</t>
  </si>
  <si>
    <t>Validate the requested disbursal amount against the sanctioned amount &amp; process for disbursal</t>
  </si>
  <si>
    <t>Validation of loan account setup &amp; conformance to product mapping</t>
  </si>
  <si>
    <t>Generation of EMI schedule ( P+I) across the tenor of the loan</t>
  </si>
  <si>
    <t>Establish the EMI commencement date along with debit frequency</t>
  </si>
  <si>
    <t xml:space="preserve">Welcome pack generation with welcome letter ,details of customer ID , loan account along with  amortization schedule </t>
  </si>
  <si>
    <t>Welcome pack delivery</t>
  </si>
  <si>
    <t>Establish repayment source account</t>
  </si>
  <si>
    <t>Establish repayment frequency</t>
  </si>
  <si>
    <t>Establish repayment frequency &amp; EMI debit start date</t>
  </si>
  <si>
    <t>Establish interest accrual frequency</t>
  </si>
  <si>
    <t>Establish interest booking and capitalization frequency</t>
  </si>
  <si>
    <t>Establish loan statement generation</t>
  </si>
  <si>
    <t>Establish loan statement generation &amp; delivery</t>
  </si>
  <si>
    <t>Establish interest rate method cutover from fixed to variable</t>
  </si>
  <si>
    <t xml:space="preserve">Estabish rate change </t>
  </si>
  <si>
    <t>Establish modified repayment based on rate change</t>
  </si>
  <si>
    <t>Notification to customer based on rate change</t>
  </si>
  <si>
    <t>Establishment of new product based on change to variable</t>
  </si>
  <si>
    <t>Service request capture</t>
  </si>
  <si>
    <t>Service request validation based on product parameters</t>
  </si>
  <si>
    <t>Application of lumpsum &amp; adjustment if excess paid</t>
  </si>
  <si>
    <t>Part payment &amp; adjustment of principal</t>
  </si>
  <si>
    <t>Part payment &amp; adjustment of tenor</t>
  </si>
  <si>
    <t>Repayment/date modification</t>
  </si>
  <si>
    <t>Customer static data modification</t>
  </si>
  <si>
    <t>Establish repayment source account for direct debit</t>
  </si>
  <si>
    <t>Updation of loan account balances based on repayments</t>
  </si>
  <si>
    <t>Tracking of repayments as per defined frequency</t>
  </si>
  <si>
    <t>Early warning signals</t>
  </si>
  <si>
    <t>Early warning signals &amp; alerts</t>
  </si>
  <si>
    <t>Establishment of overdue interest, overdue principal, penal interest, penal principal.</t>
  </si>
  <si>
    <t>Establish arrears notice</t>
  </si>
  <si>
    <t>Establish negotiated repayment plan</t>
  </si>
  <si>
    <t>Establish collection &amp; recovery according to the modified repayment plan</t>
  </si>
  <si>
    <t>Estabish reinstatement of loan status</t>
  </si>
  <si>
    <t>Establish litigation process</t>
  </si>
  <si>
    <t>Collateral revaluation</t>
  </si>
  <si>
    <t>Establish collateral disposal</t>
  </si>
  <si>
    <t>Establish shortfall / surplus from sale proceeds of collateral</t>
  </si>
  <si>
    <t>Establish payoff process</t>
  </si>
  <si>
    <t>Arrive at payoff calculation</t>
  </si>
  <si>
    <t>Generation of redemption statement</t>
  </si>
  <si>
    <t>Establish final settlement</t>
  </si>
  <si>
    <t>Lumpsum payment &amp; adjustment to loan account</t>
  </si>
  <si>
    <t>Loan account principal adjustment</t>
  </si>
  <si>
    <t>Recalculation of EMI</t>
  </si>
  <si>
    <t>Loan repayment account validation &amp; confirmation</t>
  </si>
  <si>
    <t>Tracking &amp; accounting of missed instalments</t>
  </si>
  <si>
    <t>Repayment date / type modification</t>
  </si>
  <si>
    <t>Risk assessment based on repayment track record</t>
  </si>
  <si>
    <t>Early warning alerts based on late payments</t>
  </si>
  <si>
    <t>Establish customer contact</t>
  </si>
  <si>
    <t>Establishment of overdue interest, overdue principal, penal interest, penal principal &amp; charges if any</t>
  </si>
  <si>
    <t>Establishment and generation of arrears notice</t>
  </si>
  <si>
    <t>Negotiated repayment</t>
  </si>
  <si>
    <t>Adjustment of arrears</t>
  </si>
  <si>
    <t>Reinstatement of loan status from NPA to active</t>
  </si>
  <si>
    <t>Loan litigation</t>
  </si>
  <si>
    <t>Monetize value from sale of collateral proceeds</t>
  </si>
  <si>
    <t>Apply sale proceeds to arrive at shortfall/surplus</t>
  </si>
  <si>
    <t>Arrive at payoff date/ amount</t>
  </si>
  <si>
    <t>Final settlement amount</t>
  </si>
  <si>
    <t>Redemption statement</t>
  </si>
  <si>
    <t>Adjustment of amount toward final settlement</t>
  </si>
  <si>
    <t>Loan account closure</t>
  </si>
  <si>
    <t>Discharge / delink lien from collateral</t>
  </si>
  <si>
    <t xml:space="preserve">Confirm closure </t>
  </si>
  <si>
    <t>Generate Retention Offer</t>
  </si>
  <si>
    <t>1 Missed Payment (1–29 Days) → Issue Reminder</t>
  </si>
  <si>
    <t>2 Missed Payments (30–59 Days)→ Issue Arrears Notice</t>
  </si>
  <si>
    <t>3+ Missed Payments (60–89 Days) →Refer To Specialist Arrears Team</t>
  </si>
  <si>
    <t>90+ Days: Default</t>
  </si>
  <si>
    <t>Quote validity</t>
  </si>
  <si>
    <t>No Outstanding Fees/Transactions</t>
  </si>
  <si>
    <t>4.79/100/12</t>
  </si>
  <si>
    <t>Collection date will be the next business day in case the scheduled payment date is a holiday</t>
  </si>
  <si>
    <t>IF Product Expiry ≤ Today + 90 Days (grace period)</t>
  </si>
  <si>
    <t>Check Requested Date Between 1 and 20</t>
  </si>
  <si>
    <t>Normally valid for 28 days depending on lender</t>
  </si>
  <si>
    <t>Late Payment Fee (assumed) = £25 per missed payment</t>
  </si>
  <si>
    <t>Penalty Charges</t>
  </si>
  <si>
    <t>= £75</t>
  </si>
  <si>
    <t>Late Payment Fee × Missed Payments</t>
  </si>
  <si>
    <t>£25 × 3</t>
  </si>
  <si>
    <t>Total Outstanding</t>
  </si>
  <si>
    <t>= £5,136 + £75</t>
  </si>
  <si>
    <t>Arrears + Penalty Charges</t>
  </si>
  <si>
    <t>= £5,211</t>
  </si>
  <si>
    <t>Follow-up Action Required</t>
  </si>
  <si>
    <t>If Income Reduction ≥ 30%</t>
  </si>
  <si>
    <t>Then Customer May Qualify For:</t>
  </si>
  <si>
    <t>Interest-Only Period</t>
  </si>
  <si>
    <t>Payment Deferral</t>
  </si>
  <si>
    <t>If Exceptional Event Exists</t>
  </si>
  <si>
    <t>(e.g., Epidemic, Pandemic, Natural Disaster)</t>
  </si>
  <si>
    <t>Customer May Qualify For:</t>
  </si>
  <si>
    <t>Suspension of Collections Activity</t>
  </si>
  <si>
    <t>Waiver of Late Payment Charges</t>
  </si>
  <si>
    <t>Option 1: Reduced Payment Arrangement</t>
  </si>
  <si>
    <t>Current Monthly Payment = £1,712</t>
  </si>
  <si>
    <t>Reduced Payment</t>
  </si>
  <si>
    <t>= £1,150</t>
  </si>
  <si>
    <t>Monthly Relief</t>
  </si>
  <si>
    <t>= £1,712 - £1,150</t>
  </si>
  <si>
    <t>= £562</t>
  </si>
  <si>
    <t>Duration</t>
  </si>
  <si>
    <t>= 6 Months</t>
  </si>
  <si>
    <t>Total Relief</t>
  </si>
  <si>
    <t>= £562 × 6</t>
  </si>
  <si>
    <t>= £3,372</t>
  </si>
  <si>
    <t>Option 2: Moratorium Arrangement</t>
  </si>
  <si>
    <r>
      <t xml:space="preserve">Assume a </t>
    </r>
    <r>
      <rPr>
        <b/>
        <sz val="11"/>
        <color theme="1"/>
        <rFont val="Calibri"/>
        <family val="2"/>
        <scheme val="minor"/>
      </rPr>
      <t>6-month payment moratorium</t>
    </r>
    <r>
      <rPr>
        <sz val="11"/>
        <color theme="1"/>
        <rFont val="Calibri"/>
        <family val="2"/>
        <scheme val="minor"/>
      </rPr>
      <t>.</t>
    </r>
  </si>
  <si>
    <t>Moratorium Duration = 6 Months</t>
  </si>
  <si>
    <t>Deferred Amount</t>
  </si>
  <si>
    <t>= £1,712 × 6</t>
  </si>
  <si>
    <t>= £10,272</t>
  </si>
  <si>
    <t>Treatment of deferred balance:</t>
  </si>
  <si>
    <t>Deferred Balance = £10,272</t>
  </si>
  <si>
    <t>Options:</t>
  </si>
  <si>
    <t>Penalty Charges = £0</t>
  </si>
  <si>
    <t>Late Payment Fees = Waived</t>
  </si>
  <si>
    <t>Collections Activity = Suspended</t>
  </si>
  <si>
    <t>Added to end of loan term</t>
  </si>
  <si>
    <t>Re-amortized over remaining term</t>
  </si>
  <si>
    <t>Repaid through revised repayment plan</t>
  </si>
  <si>
    <t>Success – Reduced Payment Plan</t>
  </si>
  <si>
    <t>Customer Eligible For Support</t>
  </si>
  <si>
    <t>6 Months</t>
  </si>
  <si>
    <t>Total Customer Relief</t>
  </si>
  <si>
    <t>£3,372</t>
  </si>
  <si>
    <t>Success – Moratorium Approved</t>
  </si>
  <si>
    <t>Customer Eligible For Emergency Assistance</t>
  </si>
  <si>
    <t>Payment Moratorium Approved</t>
  </si>
  <si>
    <t>Payments Suspended</t>
  </si>
  <si>
    <t>£1,712 × 6 = £10,272 Deferred</t>
  </si>
  <si>
    <t>Late Fees Waived</t>
  </si>
  <si>
    <t>£0</t>
  </si>
  <si>
    <t>Collections Activity Suspended</t>
  </si>
  <si>
    <t>Review Date Scheduled At End Of Moratorium</t>
  </si>
  <si>
    <t>Reason:</t>
  </si>
  <si>
    <t>Next Action:</t>
  </si>
  <si>
    <t>Refer To Collections / Arrears Management Team</t>
  </si>
  <si>
    <t>Insufficient Evidence Of Hardship</t>
  </si>
  <si>
    <t>Ineligible Under Moratorium Policy</t>
  </si>
  <si>
    <t>Support Options Exhausted</t>
  </si>
  <si>
    <t>Assume no penalty charges during the moratorium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</si>
</sst>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17" fillId="33" borderId="0" xfId="0" applyFont="1" applyFill="1"/>
    <xf numFmtId="0" fontId="18" fillId="34" borderId="10" xfId="0" applyFont="1" applyFill="1" applyBorder="1" applyAlignment="1">
      <alignment horizontal="left" vertical="top" wrapText="1"/>
    </xf>
    <xf numFmtId="0" fontId="19" fillId="35" borderId="10" xfId="0" applyFont="1" applyFill="1" applyBorder="1" applyAlignment="1">
      <alignment horizontal="left" vertical="top" wrapText="1"/>
    </xf>
    <xf numFmtId="0" fontId="20" fillId="35" borderId="10" xfId="0" applyFont="1" applyFill="1" applyBorder="1" applyAlignment="1">
      <alignment horizontal="left" vertical="top" wrapText="1"/>
    </xf>
    <xf numFmtId="0" fontId="20" fillId="35" borderId="10" xfId="0" applyFont="1" applyFill="1" applyBorder="1" applyAlignment="1">
      <alignment vertical="top" wrapText="1"/>
    </xf>
    <xf numFmtId="0" fontId="0" fillId="36" borderId="0" xfId="0" applyFill="1"/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22" fillId="36" borderId="0" xfId="0" applyFont="1" applyFill="1" applyAlignment="1">
      <alignment vertical="center"/>
    </xf>
    <xf numFmtId="0" fontId="23" fillId="36" borderId="0" xfId="0" applyFont="1" applyFill="1"/>
    <xf numFmtId="0" fontId="23" fillId="0" borderId="12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16" fillId="0" borderId="12" xfId="0" applyFont="1" applyBorder="1"/>
    <xf numFmtId="0" fontId="16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21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22" fillId="37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16" fillId="37" borderId="12" xfId="0" applyFont="1" applyFill="1" applyBorder="1" applyAlignment="1">
      <alignment horizontal="center" vertical="center"/>
    </xf>
    <xf numFmtId="0" fontId="0" fillId="36" borderId="12" xfId="0" applyFill="1" applyBorder="1" applyAlignment="1">
      <alignment horizontal="left" vertical="center"/>
    </xf>
    <xf numFmtId="0" fontId="17" fillId="33" borderId="0" xfId="0" applyFont="1" applyFill="1" applyAlignment="1">
      <alignment wrapText="1"/>
    </xf>
    <xf numFmtId="0" fontId="0" fillId="0" borderId="0" xfId="0" applyBorder="1"/>
    <xf numFmtId="0" fontId="0" fillId="36" borderId="12" xfId="0" applyFill="1" applyBorder="1"/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vertical="center"/>
    </xf>
    <xf numFmtId="0" fontId="21" fillId="0" borderId="11" xfId="0" applyFont="1" applyBorder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DE9A-8E77-4C8B-9A16-6E171E313BBE}">
  <dimension ref="A1:M56"/>
  <sheetViews>
    <sheetView zoomScale="90" zoomScaleNormal="90" workbookViewId="0">
      <pane ySplit="1" topLeftCell="A2" activePane="bottomLeft" state="frozen"/>
      <selection activeCell="C1" sqref="C1"/>
      <selection pane="bottomLeft" activeCell="E10" sqref="E10"/>
    </sheetView>
  </sheetViews>
  <sheetFormatPr defaultRowHeight="15" x14ac:dyDescent="0.25"/>
  <cols>
    <col min="1" max="1" width="9.140625" customWidth="1"/>
    <col min="2" max="2" width="22.28515625" customWidth="1"/>
    <col min="3" max="3" width="20.42578125" customWidth="1"/>
    <col min="4" max="4" width="31.85546875" customWidth="1"/>
    <col min="5" max="5" width="59.7109375" customWidth="1"/>
    <col min="6" max="6" width="23.5703125" customWidth="1"/>
    <col min="7" max="7" width="45.140625" customWidth="1"/>
    <col min="8" max="8" width="17.7109375" customWidth="1"/>
    <col min="9" max="9" width="41" style="1" customWidth="1"/>
    <col min="10" max="10" width="21.28515625" customWidth="1"/>
    <col min="11" max="11" width="21.5703125" style="1" customWidth="1"/>
    <col min="12" max="12" width="14.5703125" customWidth="1"/>
    <col min="13" max="13" width="32.85546875" customWidth="1"/>
  </cols>
  <sheetData>
    <row r="1" spans="1:13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8</v>
      </c>
      <c r="J1" s="2" t="s">
        <v>9</v>
      </c>
      <c r="K1" s="29" t="s">
        <v>10</v>
      </c>
      <c r="L1" s="2" t="s">
        <v>11</v>
      </c>
      <c r="M1" s="2" t="s">
        <v>12</v>
      </c>
    </row>
    <row r="2" spans="1:13" ht="22.5" customHeight="1" x14ac:dyDescent="0.25">
      <c r="A2" s="35" t="s">
        <v>15</v>
      </c>
      <c r="B2" s="35" t="s">
        <v>16</v>
      </c>
      <c r="C2" s="35" t="s">
        <v>231</v>
      </c>
      <c r="D2" s="35" t="s">
        <v>232</v>
      </c>
      <c r="E2" s="35" t="s">
        <v>422</v>
      </c>
      <c r="F2" s="35" t="s">
        <v>233</v>
      </c>
      <c r="G2" s="35" t="s">
        <v>235</v>
      </c>
      <c r="H2" s="35" t="s">
        <v>238</v>
      </c>
      <c r="I2" s="36" t="s">
        <v>424</v>
      </c>
      <c r="J2" s="35" t="s">
        <v>241</v>
      </c>
      <c r="K2" s="36" t="s">
        <v>435</v>
      </c>
      <c r="L2" s="35" t="s">
        <v>246</v>
      </c>
      <c r="M2" s="35" t="s">
        <v>17</v>
      </c>
    </row>
    <row r="3" spans="1:13" ht="19.5" customHeight="1" x14ac:dyDescent="0.25">
      <c r="A3" s="35" t="s">
        <v>15</v>
      </c>
      <c r="B3" s="35" t="s">
        <v>16</v>
      </c>
      <c r="C3" s="35" t="s">
        <v>231</v>
      </c>
      <c r="D3" s="35" t="s">
        <v>232</v>
      </c>
      <c r="E3" s="35" t="s">
        <v>422</v>
      </c>
      <c r="F3" s="35" t="s">
        <v>233</v>
      </c>
      <c r="G3" s="35" t="s">
        <v>263</v>
      </c>
      <c r="H3" s="35" t="s">
        <v>65</v>
      </c>
      <c r="I3" s="37" t="s">
        <v>425</v>
      </c>
      <c r="J3" s="35" t="s">
        <v>242</v>
      </c>
      <c r="K3" s="36" t="s">
        <v>436</v>
      </c>
      <c r="L3" s="35" t="s">
        <v>246</v>
      </c>
      <c r="M3" s="35" t="s">
        <v>17</v>
      </c>
    </row>
    <row r="4" spans="1:13" ht="30" customHeight="1" x14ac:dyDescent="0.25">
      <c r="A4" s="35" t="s">
        <v>15</v>
      </c>
      <c r="B4" s="35" t="s">
        <v>16</v>
      </c>
      <c r="C4" s="35" t="s">
        <v>231</v>
      </c>
      <c r="D4" s="35" t="s">
        <v>232</v>
      </c>
      <c r="E4" s="36" t="s">
        <v>421</v>
      </c>
      <c r="F4" s="36" t="s">
        <v>406</v>
      </c>
      <c r="G4" s="36" t="s">
        <v>408</v>
      </c>
      <c r="H4" s="35" t="s">
        <v>410</v>
      </c>
      <c r="I4" s="36" t="s">
        <v>412</v>
      </c>
      <c r="J4" s="35" t="s">
        <v>414</v>
      </c>
      <c r="K4" s="36" t="s">
        <v>416</v>
      </c>
      <c r="L4" s="35" t="s">
        <v>246</v>
      </c>
      <c r="M4" s="35" t="s">
        <v>17</v>
      </c>
    </row>
    <row r="5" spans="1:13" ht="45" x14ac:dyDescent="0.25">
      <c r="A5" s="35" t="s">
        <v>15</v>
      </c>
      <c r="B5" s="35" t="s">
        <v>16</v>
      </c>
      <c r="C5" s="35" t="s">
        <v>231</v>
      </c>
      <c r="D5" s="35" t="s">
        <v>232</v>
      </c>
      <c r="E5" s="36" t="s">
        <v>421</v>
      </c>
      <c r="F5" s="36" t="s">
        <v>407</v>
      </c>
      <c r="G5" s="36" t="s">
        <v>409</v>
      </c>
      <c r="H5" s="35" t="s">
        <v>411</v>
      </c>
      <c r="I5" s="36" t="s">
        <v>413</v>
      </c>
      <c r="J5" s="35" t="s">
        <v>415</v>
      </c>
      <c r="K5" s="36" t="s">
        <v>417</v>
      </c>
      <c r="L5" s="35" t="s">
        <v>418</v>
      </c>
      <c r="M5" s="35" t="s">
        <v>17</v>
      </c>
    </row>
    <row r="6" spans="1:13" ht="30" x14ac:dyDescent="0.25">
      <c r="A6" s="35" t="s">
        <v>15</v>
      </c>
      <c r="B6" s="35" t="s">
        <v>16</v>
      </c>
      <c r="C6" s="35" t="s">
        <v>231</v>
      </c>
      <c r="D6" s="35" t="s">
        <v>232</v>
      </c>
      <c r="E6" s="36" t="s">
        <v>678</v>
      </c>
      <c r="F6" s="35" t="s">
        <v>234</v>
      </c>
      <c r="G6" s="35" t="s">
        <v>236</v>
      </c>
      <c r="H6" s="35" t="s">
        <v>239</v>
      </c>
      <c r="I6" s="36" t="s">
        <v>426</v>
      </c>
      <c r="J6" s="35" t="s">
        <v>243</v>
      </c>
      <c r="K6" s="36" t="s">
        <v>437</v>
      </c>
      <c r="L6" s="35" t="s">
        <v>41</v>
      </c>
      <c r="M6" s="35" t="s">
        <v>17</v>
      </c>
    </row>
    <row r="7" spans="1:13" ht="45" x14ac:dyDescent="0.25">
      <c r="A7" s="35" t="s">
        <v>15</v>
      </c>
      <c r="B7" s="35" t="s">
        <v>16</v>
      </c>
      <c r="C7" s="35" t="s">
        <v>231</v>
      </c>
      <c r="D7" s="35" t="s">
        <v>232</v>
      </c>
      <c r="E7" s="36" t="s">
        <v>679</v>
      </c>
      <c r="F7" s="35" t="s">
        <v>266</v>
      </c>
      <c r="G7" s="35" t="s">
        <v>264</v>
      </c>
      <c r="H7" s="35" t="s">
        <v>238</v>
      </c>
      <c r="I7" s="36" t="s">
        <v>679</v>
      </c>
      <c r="J7" s="35" t="s">
        <v>45</v>
      </c>
      <c r="K7" s="36" t="s">
        <v>438</v>
      </c>
      <c r="L7" s="35" t="s">
        <v>246</v>
      </c>
      <c r="M7" s="35" t="s">
        <v>17</v>
      </c>
    </row>
    <row r="8" spans="1:13" ht="45" x14ac:dyDescent="0.25">
      <c r="A8" s="35" t="s">
        <v>15</v>
      </c>
      <c r="B8" s="35" t="s">
        <v>16</v>
      </c>
      <c r="C8" s="35" t="s">
        <v>231</v>
      </c>
      <c r="D8" s="35" t="s">
        <v>232</v>
      </c>
      <c r="E8" s="35" t="s">
        <v>680</v>
      </c>
      <c r="F8" s="35" t="s">
        <v>267</v>
      </c>
      <c r="G8" s="35" t="s">
        <v>237</v>
      </c>
      <c r="H8" s="35" t="s">
        <v>240</v>
      </c>
      <c r="I8" s="36" t="s">
        <v>427</v>
      </c>
      <c r="J8" s="35" t="s">
        <v>244</v>
      </c>
      <c r="K8" s="36" t="s">
        <v>441</v>
      </c>
      <c r="L8" s="35" t="s">
        <v>246</v>
      </c>
      <c r="M8" s="35" t="s">
        <v>17</v>
      </c>
    </row>
    <row r="9" spans="1:13" ht="45" x14ac:dyDescent="0.25">
      <c r="A9" s="35" t="s">
        <v>15</v>
      </c>
      <c r="B9" s="35" t="s">
        <v>16</v>
      </c>
      <c r="C9" s="35" t="s">
        <v>231</v>
      </c>
      <c r="D9" s="35" t="s">
        <v>232</v>
      </c>
      <c r="E9" s="35" t="s">
        <v>681</v>
      </c>
      <c r="F9" s="35" t="s">
        <v>267</v>
      </c>
      <c r="G9" s="35" t="s">
        <v>265</v>
      </c>
      <c r="H9" s="35" t="s">
        <v>240</v>
      </c>
      <c r="I9" s="36" t="s">
        <v>427</v>
      </c>
      <c r="J9" s="35" t="s">
        <v>245</v>
      </c>
      <c r="K9" s="36" t="s">
        <v>442</v>
      </c>
      <c r="L9" s="35" t="s">
        <v>246</v>
      </c>
      <c r="M9" s="35" t="s">
        <v>17</v>
      </c>
    </row>
    <row r="10" spans="1:13" ht="45" x14ac:dyDescent="0.25">
      <c r="A10" s="35" t="s">
        <v>15</v>
      </c>
      <c r="B10" s="35" t="s">
        <v>16</v>
      </c>
      <c r="C10" s="35" t="s">
        <v>231</v>
      </c>
      <c r="D10" s="35" t="s">
        <v>247</v>
      </c>
      <c r="E10" s="36" t="s">
        <v>682</v>
      </c>
      <c r="F10" s="35" t="s">
        <v>261</v>
      </c>
      <c r="G10" s="35" t="s">
        <v>258</v>
      </c>
      <c r="H10" s="35" t="s">
        <v>255</v>
      </c>
      <c r="I10" s="36" t="s">
        <v>428</v>
      </c>
      <c r="J10" s="35" t="s">
        <v>250</v>
      </c>
      <c r="K10" s="36" t="s">
        <v>443</v>
      </c>
      <c r="L10" s="35" t="s">
        <v>248</v>
      </c>
      <c r="M10" s="35" t="s">
        <v>17</v>
      </c>
    </row>
    <row r="11" spans="1:13" ht="45" x14ac:dyDescent="0.25">
      <c r="A11" s="35" t="s">
        <v>15</v>
      </c>
      <c r="B11" s="35" t="s">
        <v>16</v>
      </c>
      <c r="C11" s="35" t="s">
        <v>231</v>
      </c>
      <c r="D11" s="35" t="s">
        <v>247</v>
      </c>
      <c r="E11" s="35" t="s">
        <v>683</v>
      </c>
      <c r="F11" s="35" t="s">
        <v>261</v>
      </c>
      <c r="G11" s="35" t="s">
        <v>259</v>
      </c>
      <c r="H11" s="35" t="s">
        <v>255</v>
      </c>
      <c r="I11" s="36" t="s">
        <v>428</v>
      </c>
      <c r="J11" s="35" t="s">
        <v>251</v>
      </c>
      <c r="K11" s="36" t="s">
        <v>444</v>
      </c>
      <c r="L11" s="35" t="s">
        <v>248</v>
      </c>
      <c r="M11" s="35" t="s">
        <v>17</v>
      </c>
    </row>
    <row r="12" spans="1:13" ht="45" x14ac:dyDescent="0.25">
      <c r="A12" s="35" t="s">
        <v>15</v>
      </c>
      <c r="B12" s="35" t="s">
        <v>16</v>
      </c>
      <c r="C12" s="35" t="s">
        <v>231</v>
      </c>
      <c r="D12" s="35" t="s">
        <v>247</v>
      </c>
      <c r="E12" s="35" t="s">
        <v>684</v>
      </c>
      <c r="F12" s="35" t="s">
        <v>268</v>
      </c>
      <c r="G12" s="35" t="s">
        <v>260</v>
      </c>
      <c r="H12" s="35" t="s">
        <v>256</v>
      </c>
      <c r="I12" s="36" t="s">
        <v>429</v>
      </c>
      <c r="J12" s="35" t="s">
        <v>252</v>
      </c>
      <c r="K12" s="36" t="s">
        <v>445</v>
      </c>
      <c r="L12" s="35" t="s">
        <v>249</v>
      </c>
      <c r="M12" s="35" t="s">
        <v>17</v>
      </c>
    </row>
    <row r="13" spans="1:13" ht="30" x14ac:dyDescent="0.25">
      <c r="A13" s="35" t="s">
        <v>15</v>
      </c>
      <c r="B13" s="35" t="s">
        <v>16</v>
      </c>
      <c r="C13" s="35" t="s">
        <v>231</v>
      </c>
      <c r="D13" s="35" t="s">
        <v>247</v>
      </c>
      <c r="E13" s="35" t="s">
        <v>684</v>
      </c>
      <c r="F13" s="35" t="s">
        <v>268</v>
      </c>
      <c r="G13" s="36" t="s">
        <v>405</v>
      </c>
      <c r="H13" s="35" t="s">
        <v>256</v>
      </c>
      <c r="I13" s="36" t="s">
        <v>429</v>
      </c>
      <c r="J13" s="35" t="s">
        <v>253</v>
      </c>
      <c r="K13" s="36" t="s">
        <v>446</v>
      </c>
      <c r="L13" s="35" t="s">
        <v>249</v>
      </c>
      <c r="M13" s="35" t="s">
        <v>17</v>
      </c>
    </row>
    <row r="14" spans="1:13" ht="30" x14ac:dyDescent="0.25">
      <c r="A14" s="35" t="s">
        <v>15</v>
      </c>
      <c r="B14" s="35" t="s">
        <v>16</v>
      </c>
      <c r="C14" s="35" t="s">
        <v>231</v>
      </c>
      <c r="D14" s="35" t="s">
        <v>247</v>
      </c>
      <c r="E14" s="35" t="s">
        <v>685</v>
      </c>
      <c r="F14" s="35" t="s">
        <v>262</v>
      </c>
      <c r="G14" s="35" t="s">
        <v>269</v>
      </c>
      <c r="H14" s="35" t="s">
        <v>257</v>
      </c>
      <c r="I14" s="36" t="s">
        <v>430</v>
      </c>
      <c r="J14" s="35" t="s">
        <v>271</v>
      </c>
      <c r="K14" s="36" t="s">
        <v>447</v>
      </c>
      <c r="L14" s="35" t="s">
        <v>249</v>
      </c>
      <c r="M14" s="35" t="s">
        <v>17</v>
      </c>
    </row>
    <row r="15" spans="1:13" ht="30" x14ac:dyDescent="0.25">
      <c r="A15" s="35" t="s">
        <v>15</v>
      </c>
      <c r="B15" s="35" t="s">
        <v>16</v>
      </c>
      <c r="C15" s="35" t="s">
        <v>231</v>
      </c>
      <c r="D15" s="35" t="s">
        <v>247</v>
      </c>
      <c r="E15" s="35" t="s">
        <v>686</v>
      </c>
      <c r="F15" s="35" t="s">
        <v>262</v>
      </c>
      <c r="G15" s="35" t="s">
        <v>270</v>
      </c>
      <c r="H15" s="35" t="s">
        <v>257</v>
      </c>
      <c r="I15" s="36" t="s">
        <v>430</v>
      </c>
      <c r="J15" s="35" t="s">
        <v>254</v>
      </c>
      <c r="K15" s="36" t="s">
        <v>448</v>
      </c>
      <c r="L15" s="35" t="s">
        <v>249</v>
      </c>
      <c r="M15" s="35" t="s">
        <v>17</v>
      </c>
    </row>
    <row r="16" spans="1:13" ht="30" x14ac:dyDescent="0.25">
      <c r="A16" s="35" t="s">
        <v>15</v>
      </c>
      <c r="B16" s="35" t="s">
        <v>16</v>
      </c>
      <c r="C16" s="35" t="s">
        <v>231</v>
      </c>
      <c r="D16" s="35" t="s">
        <v>272</v>
      </c>
      <c r="E16" s="35" t="s">
        <v>687</v>
      </c>
      <c r="F16" s="35" t="s">
        <v>273</v>
      </c>
      <c r="G16" s="35" t="s">
        <v>275</v>
      </c>
      <c r="H16" s="35" t="s">
        <v>279</v>
      </c>
      <c r="I16" s="36" t="s">
        <v>431</v>
      </c>
      <c r="J16" s="35" t="s">
        <v>45</v>
      </c>
      <c r="K16" s="36"/>
      <c r="L16" s="35" t="s">
        <v>246</v>
      </c>
      <c r="M16" s="35" t="s">
        <v>17</v>
      </c>
    </row>
    <row r="17" spans="1:13" ht="30" x14ac:dyDescent="0.25">
      <c r="A17" s="35" t="s">
        <v>15</v>
      </c>
      <c r="B17" s="35" t="s">
        <v>16</v>
      </c>
      <c r="C17" s="35" t="s">
        <v>231</v>
      </c>
      <c r="D17" s="35" t="s">
        <v>272</v>
      </c>
      <c r="E17" s="35" t="s">
        <v>688</v>
      </c>
      <c r="F17" s="35" t="s">
        <v>273</v>
      </c>
      <c r="G17" s="35" t="s">
        <v>276</v>
      </c>
      <c r="H17" s="35" t="s">
        <v>279</v>
      </c>
      <c r="I17" s="36" t="s">
        <v>431</v>
      </c>
      <c r="J17" s="35" t="s">
        <v>281</v>
      </c>
      <c r="K17" s="36" t="s">
        <v>449</v>
      </c>
      <c r="L17" s="35" t="s">
        <v>246</v>
      </c>
      <c r="M17" s="35" t="s">
        <v>17</v>
      </c>
    </row>
    <row r="18" spans="1:13" ht="30" x14ac:dyDescent="0.25">
      <c r="A18" s="35" t="s">
        <v>15</v>
      </c>
      <c r="B18" s="35" t="s">
        <v>16</v>
      </c>
      <c r="C18" s="35" t="s">
        <v>231</v>
      </c>
      <c r="D18" s="35" t="s">
        <v>272</v>
      </c>
      <c r="E18" s="35" t="s">
        <v>689</v>
      </c>
      <c r="F18" s="35" t="s">
        <v>274</v>
      </c>
      <c r="G18" s="35" t="s">
        <v>277</v>
      </c>
      <c r="H18" s="35" t="s">
        <v>280</v>
      </c>
      <c r="I18" s="36" t="s">
        <v>432</v>
      </c>
      <c r="J18" s="35" t="s">
        <v>282</v>
      </c>
      <c r="K18" s="36" t="s">
        <v>450</v>
      </c>
      <c r="L18" s="35" t="s">
        <v>248</v>
      </c>
      <c r="M18" s="35" t="s">
        <v>17</v>
      </c>
    </row>
    <row r="19" spans="1:13" ht="30" x14ac:dyDescent="0.25">
      <c r="A19" s="35" t="s">
        <v>15</v>
      </c>
      <c r="B19" s="35" t="s">
        <v>16</v>
      </c>
      <c r="C19" s="35" t="s">
        <v>231</v>
      </c>
      <c r="D19" s="35" t="s">
        <v>272</v>
      </c>
      <c r="E19" s="35" t="s">
        <v>690</v>
      </c>
      <c r="F19" s="35" t="s">
        <v>274</v>
      </c>
      <c r="G19" s="35" t="s">
        <v>278</v>
      </c>
      <c r="H19" s="35" t="s">
        <v>255</v>
      </c>
      <c r="I19" s="36" t="s">
        <v>428</v>
      </c>
      <c r="J19" s="35" t="s">
        <v>283</v>
      </c>
      <c r="K19" s="36" t="s">
        <v>451</v>
      </c>
      <c r="L19" s="35" t="s">
        <v>248</v>
      </c>
      <c r="M19" s="35" t="s">
        <v>17</v>
      </c>
    </row>
    <row r="20" spans="1:13" ht="30" x14ac:dyDescent="0.25">
      <c r="A20" s="35" t="s">
        <v>15</v>
      </c>
      <c r="B20" s="35" t="s">
        <v>16</v>
      </c>
      <c r="C20" s="35" t="s">
        <v>231</v>
      </c>
      <c r="D20" s="35" t="s">
        <v>272</v>
      </c>
      <c r="E20" s="35" t="s">
        <v>691</v>
      </c>
      <c r="F20" s="35" t="s">
        <v>284</v>
      </c>
      <c r="G20" s="35" t="s">
        <v>285</v>
      </c>
      <c r="H20" s="35" t="s">
        <v>286</v>
      </c>
      <c r="I20" s="36" t="s">
        <v>433</v>
      </c>
      <c r="J20" s="35" t="s">
        <v>287</v>
      </c>
      <c r="K20" s="36" t="s">
        <v>452</v>
      </c>
      <c r="L20" s="35" t="s">
        <v>246</v>
      </c>
      <c r="M20" s="35" t="s">
        <v>17</v>
      </c>
    </row>
    <row r="21" spans="1:13" ht="30" x14ac:dyDescent="0.25">
      <c r="A21" s="35" t="s">
        <v>15</v>
      </c>
      <c r="B21" s="35" t="s">
        <v>16</v>
      </c>
      <c r="C21" s="35" t="s">
        <v>231</v>
      </c>
      <c r="D21" s="35" t="s">
        <v>272</v>
      </c>
      <c r="E21" s="35" t="s">
        <v>692</v>
      </c>
      <c r="F21" s="35" t="s">
        <v>288</v>
      </c>
      <c r="G21" s="35" t="s">
        <v>289</v>
      </c>
      <c r="H21" s="35" t="s">
        <v>45</v>
      </c>
      <c r="I21" s="36" t="s">
        <v>434</v>
      </c>
      <c r="J21" s="35" t="s">
        <v>290</v>
      </c>
      <c r="K21" s="36" t="s">
        <v>453</v>
      </c>
      <c r="L21" s="35" t="s">
        <v>246</v>
      </c>
      <c r="M21" s="35" t="s">
        <v>17</v>
      </c>
    </row>
    <row r="22" spans="1:13" ht="30" x14ac:dyDescent="0.25">
      <c r="A22" s="35" t="s">
        <v>15</v>
      </c>
      <c r="B22" s="35" t="s">
        <v>16</v>
      </c>
      <c r="C22" s="35" t="s">
        <v>231</v>
      </c>
      <c r="D22" s="35" t="s">
        <v>272</v>
      </c>
      <c r="E22" s="35" t="s">
        <v>693</v>
      </c>
      <c r="F22" s="35" t="s">
        <v>291</v>
      </c>
      <c r="G22" s="35" t="s">
        <v>292</v>
      </c>
      <c r="H22" s="35" t="s">
        <v>240</v>
      </c>
      <c r="I22" s="36" t="s">
        <v>427</v>
      </c>
      <c r="J22" s="35" t="s">
        <v>244</v>
      </c>
      <c r="K22" s="36"/>
      <c r="L22" s="35" t="s">
        <v>246</v>
      </c>
      <c r="M22" s="35" t="s">
        <v>17</v>
      </c>
    </row>
    <row r="23" spans="1:13" ht="30" x14ac:dyDescent="0.25">
      <c r="A23" s="35" t="s">
        <v>15</v>
      </c>
      <c r="B23" s="35" t="s">
        <v>16</v>
      </c>
      <c r="C23" s="35" t="s">
        <v>231</v>
      </c>
      <c r="D23" s="35" t="s">
        <v>272</v>
      </c>
      <c r="E23" s="35" t="s">
        <v>694</v>
      </c>
      <c r="F23" s="35" t="s">
        <v>293</v>
      </c>
      <c r="G23" s="35" t="s">
        <v>294</v>
      </c>
      <c r="H23" s="35" t="s">
        <v>255</v>
      </c>
      <c r="I23" s="36" t="s">
        <v>428</v>
      </c>
      <c r="J23" s="35" t="s">
        <v>295</v>
      </c>
      <c r="K23" s="36" t="s">
        <v>454</v>
      </c>
      <c r="L23" s="35" t="s">
        <v>248</v>
      </c>
      <c r="M23" s="35" t="s">
        <v>17</v>
      </c>
    </row>
    <row r="24" spans="1:13" ht="30" x14ac:dyDescent="0.25">
      <c r="A24" s="35" t="s">
        <v>15</v>
      </c>
      <c r="B24" s="35" t="s">
        <v>16</v>
      </c>
      <c r="C24" s="35" t="s">
        <v>231</v>
      </c>
      <c r="D24" s="35" t="s">
        <v>272</v>
      </c>
      <c r="E24" s="35" t="s">
        <v>695</v>
      </c>
      <c r="F24" s="35" t="s">
        <v>296</v>
      </c>
      <c r="G24" s="35" t="s">
        <v>297</v>
      </c>
      <c r="H24" s="35" t="s">
        <v>286</v>
      </c>
      <c r="I24" s="36" t="s">
        <v>433</v>
      </c>
      <c r="J24" s="35" t="s">
        <v>44</v>
      </c>
      <c r="K24" s="36" t="s">
        <v>455</v>
      </c>
      <c r="L24" s="35" t="s">
        <v>46</v>
      </c>
      <c r="M24" s="35" t="s">
        <v>17</v>
      </c>
    </row>
    <row r="25" spans="1:13" ht="30" x14ac:dyDescent="0.25">
      <c r="A25" s="35" t="s">
        <v>15</v>
      </c>
      <c r="B25" s="35" t="s">
        <v>16</v>
      </c>
      <c r="C25" s="35" t="s">
        <v>231</v>
      </c>
      <c r="D25" s="35" t="s">
        <v>272</v>
      </c>
      <c r="E25" s="35" t="s">
        <v>696</v>
      </c>
      <c r="F25" s="35" t="s">
        <v>298</v>
      </c>
      <c r="G25" s="35" t="s">
        <v>299</v>
      </c>
      <c r="H25" s="35" t="s">
        <v>300</v>
      </c>
      <c r="I25" s="36" t="s">
        <v>679</v>
      </c>
      <c r="J25" s="35" t="s">
        <v>301</v>
      </c>
      <c r="K25" s="36" t="s">
        <v>456</v>
      </c>
      <c r="L25" s="35" t="s">
        <v>248</v>
      </c>
      <c r="M25" s="35" t="s">
        <v>17</v>
      </c>
    </row>
    <row r="26" spans="1:13" ht="45" x14ac:dyDescent="0.25">
      <c r="A26" s="35" t="s">
        <v>15</v>
      </c>
      <c r="B26" s="35" t="s">
        <v>16</v>
      </c>
      <c r="C26" s="35" t="s">
        <v>231</v>
      </c>
      <c r="D26" s="35" t="s">
        <v>272</v>
      </c>
      <c r="E26" s="35" t="s">
        <v>697</v>
      </c>
      <c r="F26" s="35" t="s">
        <v>302</v>
      </c>
      <c r="G26" s="35" t="s">
        <v>303</v>
      </c>
      <c r="H26" s="35" t="s">
        <v>238</v>
      </c>
      <c r="I26" s="36" t="s">
        <v>679</v>
      </c>
      <c r="J26" s="35" t="s">
        <v>304</v>
      </c>
      <c r="K26" s="36" t="s">
        <v>457</v>
      </c>
      <c r="L26" s="35" t="s">
        <v>246</v>
      </c>
      <c r="M26" s="35" t="s">
        <v>17</v>
      </c>
    </row>
    <row r="27" spans="1:13" ht="45" x14ac:dyDescent="0.25">
      <c r="A27" s="35" t="s">
        <v>15</v>
      </c>
      <c r="B27" s="35" t="s">
        <v>16</v>
      </c>
      <c r="C27" s="35" t="s">
        <v>231</v>
      </c>
      <c r="D27" s="35" t="s">
        <v>272</v>
      </c>
      <c r="E27" s="35" t="s">
        <v>698</v>
      </c>
      <c r="F27" s="35" t="s">
        <v>305</v>
      </c>
      <c r="G27" s="35" t="s">
        <v>306</v>
      </c>
      <c r="H27" s="35" t="s">
        <v>307</v>
      </c>
      <c r="I27" s="36" t="s">
        <v>721</v>
      </c>
      <c r="J27" s="35" t="s">
        <v>308</v>
      </c>
      <c r="K27" s="36" t="s">
        <v>458</v>
      </c>
      <c r="L27" s="35" t="s">
        <v>246</v>
      </c>
      <c r="M27" s="35" t="s">
        <v>17</v>
      </c>
    </row>
    <row r="28" spans="1:13" ht="30" x14ac:dyDescent="0.25">
      <c r="A28" s="35" t="s">
        <v>15</v>
      </c>
      <c r="B28" s="35" t="s">
        <v>16</v>
      </c>
      <c r="C28" s="35" t="s">
        <v>231</v>
      </c>
      <c r="D28" s="35" t="s">
        <v>272</v>
      </c>
      <c r="E28" s="35" t="s">
        <v>699</v>
      </c>
      <c r="F28" s="35" t="s">
        <v>309</v>
      </c>
      <c r="G28" s="35" t="s">
        <v>310</v>
      </c>
      <c r="H28" s="35" t="s">
        <v>238</v>
      </c>
      <c r="I28" s="36" t="s">
        <v>722</v>
      </c>
      <c r="J28" s="35" t="s">
        <v>311</v>
      </c>
      <c r="K28" s="36" t="s">
        <v>459</v>
      </c>
      <c r="L28" s="35"/>
      <c r="M28" s="35" t="s">
        <v>17</v>
      </c>
    </row>
    <row r="29" spans="1:13" ht="30" x14ac:dyDescent="0.25">
      <c r="A29" s="35" t="s">
        <v>15</v>
      </c>
      <c r="B29" s="35" t="s">
        <v>16</v>
      </c>
      <c r="C29" s="35" t="s">
        <v>231</v>
      </c>
      <c r="D29" s="35" t="s">
        <v>272</v>
      </c>
      <c r="E29" s="35" t="s">
        <v>700</v>
      </c>
      <c r="F29" s="35" t="s">
        <v>312</v>
      </c>
      <c r="G29" s="35" t="s">
        <v>313</v>
      </c>
      <c r="H29" s="35" t="s">
        <v>238</v>
      </c>
      <c r="I29" s="36" t="s">
        <v>427</v>
      </c>
      <c r="J29" s="35" t="s">
        <v>314</v>
      </c>
      <c r="K29" s="36" t="s">
        <v>460</v>
      </c>
      <c r="L29" s="35"/>
      <c r="M29" s="35" t="s">
        <v>17</v>
      </c>
    </row>
    <row r="30" spans="1:13" ht="30" x14ac:dyDescent="0.25">
      <c r="A30" s="35" t="s">
        <v>15</v>
      </c>
      <c r="B30" s="35" t="s">
        <v>16</v>
      </c>
      <c r="C30" s="35" t="s">
        <v>231</v>
      </c>
      <c r="D30" s="35" t="s">
        <v>272</v>
      </c>
      <c r="E30" s="35" t="s">
        <v>723</v>
      </c>
      <c r="F30" s="35" t="s">
        <v>291</v>
      </c>
      <c r="G30" s="35" t="s">
        <v>419</v>
      </c>
      <c r="H30" s="35" t="s">
        <v>240</v>
      </c>
      <c r="I30" s="36" t="s">
        <v>427</v>
      </c>
      <c r="J30" s="35" t="s">
        <v>244</v>
      </c>
      <c r="K30" s="36" t="s">
        <v>420</v>
      </c>
      <c r="L30" s="35" t="s">
        <v>246</v>
      </c>
      <c r="M30" s="35" t="s">
        <v>17</v>
      </c>
    </row>
    <row r="31" spans="1:13" ht="30" x14ac:dyDescent="0.25">
      <c r="A31" s="35" t="s">
        <v>15</v>
      </c>
      <c r="B31" s="35" t="s">
        <v>16</v>
      </c>
      <c r="C31" s="35" t="s">
        <v>231</v>
      </c>
      <c r="D31" s="35" t="s">
        <v>272</v>
      </c>
      <c r="E31" s="35" t="s">
        <v>701</v>
      </c>
      <c r="F31" s="35" t="s">
        <v>315</v>
      </c>
      <c r="G31" s="35" t="s">
        <v>316</v>
      </c>
      <c r="H31" s="35" t="s">
        <v>257</v>
      </c>
      <c r="I31" s="36" t="s">
        <v>427</v>
      </c>
      <c r="J31" s="35" t="s">
        <v>254</v>
      </c>
      <c r="K31" s="36" t="s">
        <v>726</v>
      </c>
      <c r="L31" s="35" t="s">
        <v>249</v>
      </c>
      <c r="M31" s="35" t="s">
        <v>17</v>
      </c>
    </row>
    <row r="32" spans="1:13" x14ac:dyDescent="0.25">
      <c r="A32" s="35" t="s">
        <v>15</v>
      </c>
      <c r="B32" s="35" t="s">
        <v>16</v>
      </c>
      <c r="C32" s="35" t="s">
        <v>231</v>
      </c>
      <c r="D32" s="35" t="s">
        <v>272</v>
      </c>
      <c r="E32" s="35" t="s">
        <v>702</v>
      </c>
      <c r="F32" s="35" t="s">
        <v>317</v>
      </c>
      <c r="G32" s="35" t="s">
        <v>318</v>
      </c>
      <c r="H32" s="35" t="s">
        <v>65</v>
      </c>
      <c r="I32" s="35" t="s">
        <v>702</v>
      </c>
      <c r="J32" s="35" t="s">
        <v>319</v>
      </c>
      <c r="K32" s="35" t="s">
        <v>702</v>
      </c>
      <c r="L32" s="35" t="s">
        <v>248</v>
      </c>
      <c r="M32" s="35" t="s">
        <v>17</v>
      </c>
    </row>
    <row r="33" spans="1:13" ht="30" x14ac:dyDescent="0.25">
      <c r="A33" s="35" t="s">
        <v>15</v>
      </c>
      <c r="B33" s="35" t="s">
        <v>16</v>
      </c>
      <c r="C33" s="35" t="s">
        <v>231</v>
      </c>
      <c r="D33" s="35" t="s">
        <v>376</v>
      </c>
      <c r="E33" s="35" t="s">
        <v>703</v>
      </c>
      <c r="F33" s="35" t="s">
        <v>320</v>
      </c>
      <c r="G33" s="35" t="s">
        <v>321</v>
      </c>
      <c r="H33" s="35" t="s">
        <v>307</v>
      </c>
      <c r="I33" s="36" t="s">
        <v>724</v>
      </c>
      <c r="J33" s="35" t="s">
        <v>322</v>
      </c>
      <c r="K33" s="36" t="s">
        <v>461</v>
      </c>
      <c r="L33" s="35" t="s">
        <v>249</v>
      </c>
      <c r="M33" s="35" t="s">
        <v>17</v>
      </c>
    </row>
    <row r="34" spans="1:13" ht="30" x14ac:dyDescent="0.25">
      <c r="A34" s="35" t="s">
        <v>15</v>
      </c>
      <c r="B34" s="35" t="s">
        <v>16</v>
      </c>
      <c r="C34" s="35" t="s">
        <v>231</v>
      </c>
      <c r="D34" s="35" t="s">
        <v>376</v>
      </c>
      <c r="E34" s="35" t="s">
        <v>703</v>
      </c>
      <c r="F34" s="35" t="s">
        <v>320</v>
      </c>
      <c r="G34" s="35" t="s">
        <v>323</v>
      </c>
      <c r="H34" s="35" t="s">
        <v>307</v>
      </c>
      <c r="I34" s="36" t="s">
        <v>724</v>
      </c>
      <c r="J34" s="35" t="s">
        <v>324</v>
      </c>
      <c r="K34" s="36" t="s">
        <v>462</v>
      </c>
      <c r="L34" s="35" t="s">
        <v>246</v>
      </c>
      <c r="M34" s="35" t="s">
        <v>17</v>
      </c>
    </row>
    <row r="35" spans="1:13" ht="45" x14ac:dyDescent="0.25">
      <c r="A35" s="35" t="s">
        <v>15</v>
      </c>
      <c r="B35" s="35" t="s">
        <v>16</v>
      </c>
      <c r="C35" s="35" t="s">
        <v>231</v>
      </c>
      <c r="D35" s="36" t="s">
        <v>376</v>
      </c>
      <c r="E35" s="35" t="s">
        <v>704</v>
      </c>
      <c r="F35" s="35" t="s">
        <v>325</v>
      </c>
      <c r="G35" s="35" t="s">
        <v>326</v>
      </c>
      <c r="H35" s="35" t="s">
        <v>238</v>
      </c>
      <c r="I35" s="35" t="s">
        <v>704</v>
      </c>
      <c r="J35" s="35" t="s">
        <v>327</v>
      </c>
      <c r="K35" s="36" t="s">
        <v>463</v>
      </c>
      <c r="L35" s="35" t="s">
        <v>246</v>
      </c>
      <c r="M35" s="35" t="s">
        <v>17</v>
      </c>
    </row>
    <row r="36" spans="1:13" ht="30" x14ac:dyDescent="0.25">
      <c r="A36" s="35" t="s">
        <v>15</v>
      </c>
      <c r="B36" s="35" t="s">
        <v>16</v>
      </c>
      <c r="C36" s="35" t="s">
        <v>231</v>
      </c>
      <c r="D36" s="36" t="s">
        <v>377</v>
      </c>
      <c r="E36" s="35" t="s">
        <v>705</v>
      </c>
      <c r="F36" s="35" t="s">
        <v>328</v>
      </c>
      <c r="G36" s="35" t="s">
        <v>329</v>
      </c>
      <c r="H36" s="35" t="s">
        <v>307</v>
      </c>
      <c r="I36" s="36" t="s">
        <v>725</v>
      </c>
      <c r="J36" s="35" t="s">
        <v>330</v>
      </c>
      <c r="K36" s="36" t="s">
        <v>464</v>
      </c>
      <c r="L36" s="35" t="s">
        <v>331</v>
      </c>
      <c r="M36" s="35" t="s">
        <v>17</v>
      </c>
    </row>
    <row r="37" spans="1:13" ht="45" x14ac:dyDescent="0.25">
      <c r="A37" s="35" t="s">
        <v>15</v>
      </c>
      <c r="B37" s="35" t="s">
        <v>16</v>
      </c>
      <c r="C37" s="35" t="s">
        <v>231</v>
      </c>
      <c r="D37" s="36" t="s">
        <v>377</v>
      </c>
      <c r="E37" s="35" t="s">
        <v>706</v>
      </c>
      <c r="F37" s="35" t="s">
        <v>332</v>
      </c>
      <c r="G37" s="35" t="s">
        <v>333</v>
      </c>
      <c r="H37" s="35" t="s">
        <v>334</v>
      </c>
      <c r="I37" s="36" t="s">
        <v>727</v>
      </c>
      <c r="J37" s="35" t="s">
        <v>335</v>
      </c>
      <c r="K37" s="36" t="s">
        <v>465</v>
      </c>
      <c r="L37" s="35" t="s">
        <v>331</v>
      </c>
      <c r="M37" s="35" t="s">
        <v>17</v>
      </c>
    </row>
    <row r="38" spans="1:13" ht="30" x14ac:dyDescent="0.25">
      <c r="A38" s="35" t="s">
        <v>15</v>
      </c>
      <c r="B38" s="35" t="s">
        <v>16</v>
      </c>
      <c r="C38" s="35" t="s">
        <v>231</v>
      </c>
      <c r="D38" s="36" t="s">
        <v>377</v>
      </c>
      <c r="E38" s="35" t="s">
        <v>706</v>
      </c>
      <c r="F38" s="35" t="s">
        <v>336</v>
      </c>
      <c r="G38" s="35" t="s">
        <v>337</v>
      </c>
      <c r="H38" s="35" t="s">
        <v>338</v>
      </c>
      <c r="I38" s="36" t="s">
        <v>728</v>
      </c>
      <c r="J38" s="35" t="s">
        <v>339</v>
      </c>
      <c r="K38" s="36" t="s">
        <v>466</v>
      </c>
      <c r="L38" s="35" t="s">
        <v>331</v>
      </c>
      <c r="M38" s="35" t="s">
        <v>17</v>
      </c>
    </row>
    <row r="39" spans="1:13" ht="30" x14ac:dyDescent="0.25">
      <c r="A39" s="35" t="s">
        <v>15</v>
      </c>
      <c r="B39" s="35" t="s">
        <v>16</v>
      </c>
      <c r="C39" s="35" t="s">
        <v>231</v>
      </c>
      <c r="D39" s="36" t="s">
        <v>377</v>
      </c>
      <c r="E39" s="35" t="s">
        <v>707</v>
      </c>
      <c r="F39" s="35" t="s">
        <v>340</v>
      </c>
      <c r="G39" s="35" t="s">
        <v>341</v>
      </c>
      <c r="H39" s="35" t="s">
        <v>255</v>
      </c>
      <c r="I39" s="36" t="s">
        <v>729</v>
      </c>
      <c r="J39" s="35" t="s">
        <v>342</v>
      </c>
      <c r="K39" s="36" t="s">
        <v>467</v>
      </c>
      <c r="L39" s="35" t="s">
        <v>248</v>
      </c>
      <c r="M39" s="35" t="s">
        <v>17</v>
      </c>
    </row>
    <row r="40" spans="1:13" ht="45" x14ac:dyDescent="0.25">
      <c r="A40" s="35" t="s">
        <v>15</v>
      </c>
      <c r="B40" s="35" t="s">
        <v>16</v>
      </c>
      <c r="C40" s="35" t="s">
        <v>231</v>
      </c>
      <c r="D40" s="36" t="s">
        <v>378</v>
      </c>
      <c r="E40" s="35" t="s">
        <v>708</v>
      </c>
      <c r="F40" s="35" t="s">
        <v>343</v>
      </c>
      <c r="G40" s="35" t="s">
        <v>344</v>
      </c>
      <c r="H40" s="35" t="s">
        <v>345</v>
      </c>
      <c r="I40" s="36" t="s">
        <v>730</v>
      </c>
      <c r="J40" s="35" t="s">
        <v>346</v>
      </c>
      <c r="K40" s="36" t="s">
        <v>468</v>
      </c>
      <c r="L40" s="35" t="s">
        <v>347</v>
      </c>
      <c r="M40" s="35" t="s">
        <v>17</v>
      </c>
    </row>
    <row r="41" spans="1:13" ht="45" x14ac:dyDescent="0.25">
      <c r="A41" s="35" t="s">
        <v>15</v>
      </c>
      <c r="B41" s="35" t="s">
        <v>16</v>
      </c>
      <c r="C41" s="35" t="s">
        <v>231</v>
      </c>
      <c r="D41" s="36" t="s">
        <v>378</v>
      </c>
      <c r="E41" s="35" t="s">
        <v>709</v>
      </c>
      <c r="F41" s="35" t="s">
        <v>348</v>
      </c>
      <c r="G41" s="35" t="s">
        <v>349</v>
      </c>
      <c r="H41" s="35" t="s">
        <v>255</v>
      </c>
      <c r="I41" s="36" t="s">
        <v>731</v>
      </c>
      <c r="J41" s="35" t="s">
        <v>350</v>
      </c>
      <c r="K41" s="36" t="s">
        <v>469</v>
      </c>
      <c r="L41" s="35" t="s">
        <v>347</v>
      </c>
      <c r="M41" s="35" t="s">
        <v>17</v>
      </c>
    </row>
    <row r="42" spans="1:13" ht="45" x14ac:dyDescent="0.25">
      <c r="A42" s="35" t="s">
        <v>15</v>
      </c>
      <c r="B42" s="35" t="s">
        <v>16</v>
      </c>
      <c r="C42" s="35" t="s">
        <v>231</v>
      </c>
      <c r="D42" s="36" t="s">
        <v>378</v>
      </c>
      <c r="E42" s="35" t="s">
        <v>710</v>
      </c>
      <c r="F42" s="35" t="s">
        <v>351</v>
      </c>
      <c r="G42" s="35" t="s">
        <v>352</v>
      </c>
      <c r="H42" s="35" t="s">
        <v>353</v>
      </c>
      <c r="I42" s="36" t="s">
        <v>732</v>
      </c>
      <c r="J42" s="35" t="s">
        <v>354</v>
      </c>
      <c r="K42" s="36" t="s">
        <v>470</v>
      </c>
      <c r="L42" s="35" t="s">
        <v>347</v>
      </c>
      <c r="M42" s="35" t="s">
        <v>17</v>
      </c>
    </row>
    <row r="43" spans="1:13" ht="30" x14ac:dyDescent="0.25">
      <c r="A43" s="35" t="s">
        <v>15</v>
      </c>
      <c r="B43" s="35" t="s">
        <v>16</v>
      </c>
      <c r="C43" s="35" t="s">
        <v>231</v>
      </c>
      <c r="D43" s="36" t="s">
        <v>378</v>
      </c>
      <c r="E43" s="35" t="s">
        <v>711</v>
      </c>
      <c r="F43" s="35" t="s">
        <v>355</v>
      </c>
      <c r="G43" s="35" t="s">
        <v>356</v>
      </c>
      <c r="H43" s="35" t="s">
        <v>307</v>
      </c>
      <c r="I43" s="36" t="s">
        <v>733</v>
      </c>
      <c r="J43" s="35" t="s">
        <v>357</v>
      </c>
      <c r="K43" s="36" t="s">
        <v>471</v>
      </c>
      <c r="L43" s="35" t="s">
        <v>347</v>
      </c>
      <c r="M43" s="35" t="s">
        <v>17</v>
      </c>
    </row>
    <row r="44" spans="1:13" ht="45" x14ac:dyDescent="0.25">
      <c r="A44" s="35" t="s">
        <v>15</v>
      </c>
      <c r="B44" s="35" t="s">
        <v>16</v>
      </c>
      <c r="C44" s="35" t="s">
        <v>231</v>
      </c>
      <c r="D44" s="36" t="s">
        <v>378</v>
      </c>
      <c r="E44" s="35" t="s">
        <v>712</v>
      </c>
      <c r="F44" s="35" t="s">
        <v>358</v>
      </c>
      <c r="G44" s="35" t="s">
        <v>359</v>
      </c>
      <c r="H44" s="35" t="s">
        <v>238</v>
      </c>
      <c r="I44" s="36" t="s">
        <v>734</v>
      </c>
      <c r="J44" s="35" t="s">
        <v>360</v>
      </c>
      <c r="K44" s="36" t="s">
        <v>472</v>
      </c>
      <c r="L44" s="35" t="s">
        <v>246</v>
      </c>
      <c r="M44" s="35" t="s">
        <v>17</v>
      </c>
    </row>
    <row r="45" spans="1:13" ht="30" x14ac:dyDescent="0.25">
      <c r="A45" s="35" t="s">
        <v>15</v>
      </c>
      <c r="B45" s="35" t="s">
        <v>16</v>
      </c>
      <c r="C45" s="35" t="s">
        <v>231</v>
      </c>
      <c r="D45" s="36" t="s">
        <v>375</v>
      </c>
      <c r="E45" s="35" t="s">
        <v>713</v>
      </c>
      <c r="F45" s="35" t="s">
        <v>361</v>
      </c>
      <c r="G45" s="35" t="s">
        <v>362</v>
      </c>
      <c r="H45" s="35" t="s">
        <v>363</v>
      </c>
      <c r="I45" s="36" t="s">
        <v>735</v>
      </c>
      <c r="J45" s="35" t="s">
        <v>364</v>
      </c>
      <c r="K45" s="36" t="s">
        <v>473</v>
      </c>
      <c r="L45" s="35" t="s">
        <v>64</v>
      </c>
      <c r="M45" s="35" t="s">
        <v>17</v>
      </c>
    </row>
    <row r="46" spans="1:13" ht="45" x14ac:dyDescent="0.25">
      <c r="A46" s="35" t="s">
        <v>15</v>
      </c>
      <c r="B46" s="35" t="s">
        <v>16</v>
      </c>
      <c r="C46" s="35" t="s">
        <v>231</v>
      </c>
      <c r="D46" s="36" t="s">
        <v>375</v>
      </c>
      <c r="E46" s="35" t="s">
        <v>714</v>
      </c>
      <c r="F46" s="35" t="s">
        <v>365</v>
      </c>
      <c r="G46" s="35" t="s">
        <v>366</v>
      </c>
      <c r="H46" s="35" t="s">
        <v>40</v>
      </c>
      <c r="I46" s="35" t="s">
        <v>366</v>
      </c>
      <c r="J46" s="35" t="s">
        <v>19</v>
      </c>
      <c r="K46" s="36" t="s">
        <v>474</v>
      </c>
      <c r="L46" s="35" t="s">
        <v>367</v>
      </c>
      <c r="M46" s="35" t="s">
        <v>17</v>
      </c>
    </row>
    <row r="47" spans="1:13" ht="30" x14ac:dyDescent="0.25">
      <c r="A47" s="35" t="s">
        <v>15</v>
      </c>
      <c r="B47" s="35" t="s">
        <v>16</v>
      </c>
      <c r="C47" s="35" t="s">
        <v>231</v>
      </c>
      <c r="D47" s="36" t="s">
        <v>375</v>
      </c>
      <c r="E47" s="35" t="s">
        <v>715</v>
      </c>
      <c r="F47" s="35" t="s">
        <v>368</v>
      </c>
      <c r="G47" s="35" t="s">
        <v>369</v>
      </c>
      <c r="H47" s="35" t="s">
        <v>40</v>
      </c>
      <c r="I47" s="36" t="s">
        <v>736</v>
      </c>
      <c r="J47" s="35" t="s">
        <v>370</v>
      </c>
      <c r="K47" s="36" t="s">
        <v>475</v>
      </c>
      <c r="L47" s="35" t="s">
        <v>64</v>
      </c>
      <c r="M47" s="35" t="s">
        <v>17</v>
      </c>
    </row>
    <row r="48" spans="1:13" ht="45" x14ac:dyDescent="0.25">
      <c r="A48" s="35" t="s">
        <v>15</v>
      </c>
      <c r="B48" s="35" t="s">
        <v>16</v>
      </c>
      <c r="C48" s="35" t="s">
        <v>231</v>
      </c>
      <c r="D48" s="36" t="s">
        <v>375</v>
      </c>
      <c r="E48" s="35" t="s">
        <v>716</v>
      </c>
      <c r="F48" s="35" t="s">
        <v>371</v>
      </c>
      <c r="G48" s="35" t="s">
        <v>372</v>
      </c>
      <c r="H48" s="35" t="s">
        <v>373</v>
      </c>
      <c r="I48" s="36" t="s">
        <v>737</v>
      </c>
      <c r="J48" s="35" t="s">
        <v>374</v>
      </c>
      <c r="K48" s="36" t="s">
        <v>476</v>
      </c>
      <c r="L48" s="35" t="s">
        <v>75</v>
      </c>
      <c r="M48" s="35" t="s">
        <v>17</v>
      </c>
    </row>
    <row r="49" spans="1:13" ht="30" x14ac:dyDescent="0.25">
      <c r="A49" s="35" t="s">
        <v>15</v>
      </c>
      <c r="B49" s="35" t="s">
        <v>16</v>
      </c>
      <c r="C49" s="35" t="s">
        <v>231</v>
      </c>
      <c r="D49" s="36" t="s">
        <v>379</v>
      </c>
      <c r="E49" s="35" t="s">
        <v>717</v>
      </c>
      <c r="F49" s="35" t="s">
        <v>380</v>
      </c>
      <c r="G49" s="35" t="s">
        <v>381</v>
      </c>
      <c r="H49" s="35" t="s">
        <v>382</v>
      </c>
      <c r="I49" s="36" t="s">
        <v>738</v>
      </c>
      <c r="J49" s="35" t="s">
        <v>383</v>
      </c>
      <c r="K49" s="36" t="s">
        <v>477</v>
      </c>
      <c r="L49" s="35" t="s">
        <v>246</v>
      </c>
      <c r="M49" s="35" t="s">
        <v>17</v>
      </c>
    </row>
    <row r="50" spans="1:13" ht="45" x14ac:dyDescent="0.25">
      <c r="A50" s="35" t="s">
        <v>15</v>
      </c>
      <c r="B50" s="35" t="s">
        <v>16</v>
      </c>
      <c r="C50" s="35" t="s">
        <v>231</v>
      </c>
      <c r="D50" s="36" t="s">
        <v>379</v>
      </c>
      <c r="E50" s="35" t="s">
        <v>718</v>
      </c>
      <c r="F50" s="35" t="s">
        <v>384</v>
      </c>
      <c r="G50" s="35" t="s">
        <v>385</v>
      </c>
      <c r="H50" s="35" t="s">
        <v>280</v>
      </c>
      <c r="I50" s="36" t="s">
        <v>739</v>
      </c>
      <c r="J50" s="35" t="s">
        <v>386</v>
      </c>
      <c r="K50" s="36" t="s">
        <v>478</v>
      </c>
      <c r="L50" s="35" t="s">
        <v>246</v>
      </c>
      <c r="M50" s="35" t="s">
        <v>17</v>
      </c>
    </row>
    <row r="51" spans="1:13" ht="30" x14ac:dyDescent="0.25">
      <c r="A51" s="35" t="s">
        <v>15</v>
      </c>
      <c r="B51" s="35" t="s">
        <v>16</v>
      </c>
      <c r="C51" s="35" t="s">
        <v>231</v>
      </c>
      <c r="D51" s="36" t="s">
        <v>379</v>
      </c>
      <c r="E51" s="35" t="s">
        <v>719</v>
      </c>
      <c r="F51" s="35" t="s">
        <v>387</v>
      </c>
      <c r="G51" s="35" t="s">
        <v>388</v>
      </c>
      <c r="H51" s="35" t="s">
        <v>280</v>
      </c>
      <c r="I51" s="36" t="s">
        <v>740</v>
      </c>
      <c r="J51" s="35" t="s">
        <v>282</v>
      </c>
      <c r="K51" s="36" t="s">
        <v>740</v>
      </c>
      <c r="L51" s="35" t="s">
        <v>248</v>
      </c>
      <c r="M51" s="35" t="s">
        <v>17</v>
      </c>
    </row>
    <row r="52" spans="1:13" ht="45.75" thickBot="1" x14ac:dyDescent="0.3">
      <c r="A52" s="35" t="s">
        <v>15</v>
      </c>
      <c r="B52" s="35" t="s">
        <v>16</v>
      </c>
      <c r="C52" s="35" t="s">
        <v>231</v>
      </c>
      <c r="D52" s="36" t="s">
        <v>379</v>
      </c>
      <c r="E52" s="35" t="s">
        <v>720</v>
      </c>
      <c r="F52" s="35" t="s">
        <v>389</v>
      </c>
      <c r="G52" s="35" t="s">
        <v>390</v>
      </c>
      <c r="H52" s="35" t="s">
        <v>307</v>
      </c>
      <c r="I52" s="36" t="s">
        <v>741</v>
      </c>
      <c r="J52" s="35" t="s">
        <v>391</v>
      </c>
      <c r="K52" s="36" t="s">
        <v>479</v>
      </c>
      <c r="L52" s="35" t="s">
        <v>249</v>
      </c>
      <c r="M52" s="35" t="s">
        <v>17</v>
      </c>
    </row>
    <row r="53" spans="1:13" ht="15" customHeight="1" thickBot="1" x14ac:dyDescent="0.35">
      <c r="A53" s="35" t="s">
        <v>15</v>
      </c>
      <c r="B53" s="35" t="s">
        <v>16</v>
      </c>
      <c r="C53" s="35" t="s">
        <v>231</v>
      </c>
      <c r="D53" s="35" t="s">
        <v>392</v>
      </c>
      <c r="E53" s="34" t="s">
        <v>423</v>
      </c>
      <c r="F53" s="35" t="s">
        <v>393</v>
      </c>
      <c r="G53" s="35" t="s">
        <v>394</v>
      </c>
      <c r="H53" s="35" t="s">
        <v>238</v>
      </c>
      <c r="I53" s="36" t="s">
        <v>742</v>
      </c>
      <c r="J53" s="35" t="s">
        <v>360</v>
      </c>
      <c r="K53" s="36" t="s">
        <v>742</v>
      </c>
      <c r="L53" s="35" t="s">
        <v>246</v>
      </c>
      <c r="M53" s="35" t="s">
        <v>17</v>
      </c>
    </row>
    <row r="54" spans="1:13" ht="31.5" thickBot="1" x14ac:dyDescent="0.35">
      <c r="A54" s="35" t="s">
        <v>15</v>
      </c>
      <c r="B54" s="35" t="s">
        <v>16</v>
      </c>
      <c r="C54" s="35" t="s">
        <v>231</v>
      </c>
      <c r="D54" s="35" t="s">
        <v>392</v>
      </c>
      <c r="E54" s="34" t="s">
        <v>423</v>
      </c>
      <c r="F54" s="35" t="s">
        <v>395</v>
      </c>
      <c r="G54" s="35" t="s">
        <v>396</v>
      </c>
      <c r="H54" s="35" t="s">
        <v>397</v>
      </c>
      <c r="I54" s="36" t="s">
        <v>743</v>
      </c>
      <c r="J54" s="35" t="s">
        <v>398</v>
      </c>
      <c r="K54" s="36" t="s">
        <v>480</v>
      </c>
      <c r="L54" s="35" t="s">
        <v>64</v>
      </c>
      <c r="M54" s="35" t="s">
        <v>17</v>
      </c>
    </row>
    <row r="55" spans="1:13" ht="31.5" thickBot="1" x14ac:dyDescent="0.35">
      <c r="A55" s="35" t="s">
        <v>15</v>
      </c>
      <c r="B55" s="35" t="s">
        <v>16</v>
      </c>
      <c r="C55" s="35" t="s">
        <v>231</v>
      </c>
      <c r="D55" s="35" t="s">
        <v>392</v>
      </c>
      <c r="E55" s="34" t="s">
        <v>423</v>
      </c>
      <c r="F55" s="35" t="s">
        <v>399</v>
      </c>
      <c r="G55" s="35" t="s">
        <v>400</v>
      </c>
      <c r="H55" s="35" t="s">
        <v>401</v>
      </c>
      <c r="I55" s="35" t="s">
        <v>400</v>
      </c>
      <c r="J55" s="35" t="s">
        <v>402</v>
      </c>
      <c r="K55" s="36" t="s">
        <v>440</v>
      </c>
      <c r="L55" s="35" t="s">
        <v>64</v>
      </c>
      <c r="M55" s="35" t="s">
        <v>17</v>
      </c>
    </row>
    <row r="56" spans="1:13" ht="46.5" thickBot="1" x14ac:dyDescent="0.35">
      <c r="A56" s="35" t="s">
        <v>15</v>
      </c>
      <c r="B56" s="35" t="s">
        <v>16</v>
      </c>
      <c r="C56" s="35" t="s">
        <v>231</v>
      </c>
      <c r="D56" s="35" t="s">
        <v>392</v>
      </c>
      <c r="E56" s="34" t="s">
        <v>423</v>
      </c>
      <c r="F56" s="35" t="s">
        <v>293</v>
      </c>
      <c r="G56" s="35" t="s">
        <v>403</v>
      </c>
      <c r="H56" s="35" t="s">
        <v>255</v>
      </c>
      <c r="I56" s="35" t="s">
        <v>744</v>
      </c>
      <c r="J56" s="35" t="s">
        <v>404</v>
      </c>
      <c r="K56" s="36" t="s">
        <v>439</v>
      </c>
      <c r="L56" s="35" t="s">
        <v>248</v>
      </c>
      <c r="M56" s="35" t="s">
        <v>17</v>
      </c>
    </row>
  </sheetData>
  <autoFilter ref="A1:M36" xr:uid="{941FDE9A-8E77-4C8B-9A16-6E171E313BB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FD50-74C8-4836-BAFA-814BA2899FD4}">
  <dimension ref="A2:Y88"/>
  <sheetViews>
    <sheetView tabSelected="1" topLeftCell="M1" zoomScale="93" zoomScaleNormal="93" workbookViewId="0">
      <selection activeCell="S16" sqref="S16"/>
    </sheetView>
  </sheetViews>
  <sheetFormatPr defaultRowHeight="15" x14ac:dyDescent="0.25"/>
  <cols>
    <col min="1" max="1" width="57.5703125" customWidth="1"/>
    <col min="2" max="2" width="4.85546875" customWidth="1"/>
    <col min="3" max="3" width="42.28515625" customWidth="1"/>
    <col min="4" max="4" width="5" customWidth="1"/>
    <col min="5" max="5" width="41.7109375" customWidth="1"/>
    <col min="6" max="6" width="5.28515625" customWidth="1"/>
    <col min="7" max="7" width="35.42578125" customWidth="1"/>
    <col min="8" max="8" width="4.28515625" customWidth="1"/>
    <col min="9" max="9" width="51.140625" customWidth="1"/>
    <col min="10" max="10" width="4.7109375" customWidth="1"/>
    <col min="11" max="11" width="44.85546875" customWidth="1"/>
    <col min="12" max="12" width="6.28515625" customWidth="1"/>
    <col min="13" max="13" width="60.5703125" customWidth="1"/>
    <col min="14" max="14" width="6.28515625" customWidth="1"/>
    <col min="15" max="15" width="49.5703125" customWidth="1"/>
    <col min="16" max="16" width="6.85546875" customWidth="1"/>
    <col min="17" max="17" width="50" customWidth="1"/>
    <col min="18" max="18" width="5.5703125" customWidth="1"/>
    <col min="19" max="19" width="46" customWidth="1"/>
    <col min="20" max="20" width="6.28515625" customWidth="1"/>
    <col min="21" max="21" width="41.140625" customWidth="1"/>
    <col min="22" max="22" width="5.7109375" customWidth="1"/>
    <col min="23" max="23" width="44" customWidth="1"/>
    <col min="24" max="24" width="5.7109375" customWidth="1"/>
    <col min="25" max="25" width="42.42578125" customWidth="1"/>
  </cols>
  <sheetData>
    <row r="2" spans="1:25" s="7" customFormat="1" ht="15.75" x14ac:dyDescent="0.25">
      <c r="A2" s="25" t="s">
        <v>496</v>
      </c>
      <c r="B2" s="12"/>
      <c r="C2" s="25" t="s">
        <v>500</v>
      </c>
      <c r="D2" s="12"/>
      <c r="E2" s="25" t="s">
        <v>522</v>
      </c>
      <c r="F2" s="13"/>
      <c r="G2" s="25" t="s">
        <v>536</v>
      </c>
      <c r="H2" s="13"/>
      <c r="I2" s="25" t="s">
        <v>548</v>
      </c>
      <c r="K2" s="25" t="s">
        <v>554</v>
      </c>
      <c r="M2" s="25" t="s">
        <v>570</v>
      </c>
      <c r="O2" s="25" t="s">
        <v>587</v>
      </c>
      <c r="Q2" s="25" t="s">
        <v>648</v>
      </c>
      <c r="S2" s="25" t="s">
        <v>596</v>
      </c>
      <c r="U2" s="27" t="s">
        <v>612</v>
      </c>
      <c r="W2" s="27" t="s">
        <v>646</v>
      </c>
      <c r="Y2" s="27" t="s">
        <v>647</v>
      </c>
    </row>
    <row r="3" spans="1:25" ht="15.75" x14ac:dyDescent="0.25">
      <c r="A3" s="22" t="s">
        <v>13</v>
      </c>
      <c r="B3" s="8"/>
      <c r="C3" s="22" t="s">
        <v>13</v>
      </c>
      <c r="D3" s="8"/>
      <c r="E3" s="20" t="s">
        <v>13</v>
      </c>
      <c r="F3" s="9"/>
      <c r="G3" s="22" t="s">
        <v>13</v>
      </c>
      <c r="H3" s="9"/>
      <c r="I3" s="22" t="s">
        <v>13</v>
      </c>
      <c r="K3" s="22" t="s">
        <v>13</v>
      </c>
      <c r="M3" s="22" t="s">
        <v>13</v>
      </c>
      <c r="O3" s="22" t="s">
        <v>13</v>
      </c>
      <c r="Q3" s="22" t="s">
        <v>13</v>
      </c>
      <c r="S3" s="22" t="s">
        <v>13</v>
      </c>
      <c r="U3" s="22" t="s">
        <v>13</v>
      </c>
      <c r="W3" s="22" t="s">
        <v>13</v>
      </c>
      <c r="Y3" s="22" t="s">
        <v>13</v>
      </c>
    </row>
    <row r="4" spans="1:25" ht="16.5" x14ac:dyDescent="0.25">
      <c r="A4" s="14" t="s">
        <v>497</v>
      </c>
      <c r="B4" s="10"/>
      <c r="C4" s="14" t="s">
        <v>501</v>
      </c>
      <c r="D4" s="10"/>
      <c r="E4" s="17" t="s">
        <v>523</v>
      </c>
      <c r="F4" s="9"/>
      <c r="G4" s="24" t="s">
        <v>537</v>
      </c>
      <c r="H4" s="9"/>
      <c r="I4" s="24" t="s">
        <v>549</v>
      </c>
      <c r="K4" s="24" t="s">
        <v>555</v>
      </c>
      <c r="M4" s="26" t="s">
        <v>576</v>
      </c>
      <c r="O4" s="24" t="s">
        <v>591</v>
      </c>
      <c r="Q4" s="24" t="s">
        <v>649</v>
      </c>
      <c r="S4" s="24" t="s">
        <v>597</v>
      </c>
      <c r="U4" s="24" t="s">
        <v>613</v>
      </c>
      <c r="W4" s="24" t="s">
        <v>625</v>
      </c>
      <c r="Y4" s="24" t="s">
        <v>632</v>
      </c>
    </row>
    <row r="5" spans="1:25" ht="15.75" x14ac:dyDescent="0.25">
      <c r="A5" s="15"/>
      <c r="B5" s="11"/>
      <c r="C5" s="14"/>
      <c r="D5" s="11"/>
      <c r="E5" s="17"/>
      <c r="F5" s="9"/>
      <c r="G5" s="24"/>
      <c r="H5" s="9"/>
      <c r="I5" s="17"/>
      <c r="K5" s="22"/>
      <c r="M5" s="24"/>
      <c r="O5" s="24"/>
      <c r="Q5" s="24"/>
      <c r="S5" s="24"/>
      <c r="U5" s="24"/>
      <c r="W5" s="24"/>
      <c r="Y5" s="24"/>
    </row>
    <row r="6" spans="1:25" ht="15.75" x14ac:dyDescent="0.25">
      <c r="A6" s="22" t="s">
        <v>83</v>
      </c>
      <c r="B6" s="9"/>
      <c r="C6" s="21" t="s">
        <v>83</v>
      </c>
      <c r="D6" s="9"/>
      <c r="E6" s="20" t="s">
        <v>83</v>
      </c>
      <c r="F6" s="9"/>
      <c r="G6" s="22" t="s">
        <v>83</v>
      </c>
      <c r="H6" s="9"/>
      <c r="I6" s="22" t="s">
        <v>83</v>
      </c>
      <c r="K6" s="22" t="s">
        <v>564</v>
      </c>
      <c r="M6" s="22" t="s">
        <v>83</v>
      </c>
      <c r="O6" s="22" t="s">
        <v>83</v>
      </c>
      <c r="Q6" s="22" t="s">
        <v>83</v>
      </c>
      <c r="S6" s="22" t="s">
        <v>83</v>
      </c>
      <c r="U6" s="22" t="s">
        <v>83</v>
      </c>
      <c r="W6" s="22" t="s">
        <v>83</v>
      </c>
      <c r="Y6" s="22" t="s">
        <v>83</v>
      </c>
    </row>
    <row r="7" spans="1:25" ht="15.75" x14ac:dyDescent="0.25">
      <c r="A7" s="16" t="s">
        <v>505</v>
      </c>
      <c r="B7" s="9"/>
      <c r="C7" s="16" t="s">
        <v>481</v>
      </c>
      <c r="D7" s="9"/>
      <c r="E7" s="17" t="s">
        <v>524</v>
      </c>
      <c r="F7" s="9"/>
      <c r="G7" s="18" t="s">
        <v>521</v>
      </c>
      <c r="H7" s="9"/>
      <c r="I7" s="18" t="s">
        <v>550</v>
      </c>
      <c r="K7" s="18" t="s">
        <v>556</v>
      </c>
      <c r="M7" s="18" t="s">
        <v>575</v>
      </c>
      <c r="O7" s="18" t="s">
        <v>521</v>
      </c>
      <c r="Q7" s="18" t="s">
        <v>650</v>
      </c>
      <c r="S7" s="22" t="s">
        <v>598</v>
      </c>
      <c r="U7" s="18" t="s">
        <v>614</v>
      </c>
      <c r="W7" s="18" t="s">
        <v>626</v>
      </c>
      <c r="Y7" s="18" t="s">
        <v>628</v>
      </c>
    </row>
    <row r="8" spans="1:25" ht="15.75" x14ac:dyDescent="0.25">
      <c r="A8" s="16" t="s">
        <v>507</v>
      </c>
      <c r="B8" s="9"/>
      <c r="C8" s="16"/>
      <c r="D8" s="9"/>
      <c r="E8" s="17" t="s">
        <v>319</v>
      </c>
      <c r="F8" s="9"/>
      <c r="G8" s="18" t="s">
        <v>538</v>
      </c>
      <c r="H8" s="9"/>
      <c r="I8" s="28" t="s">
        <v>662</v>
      </c>
      <c r="K8" s="18" t="s">
        <v>557</v>
      </c>
      <c r="M8" s="17" t="s">
        <v>577</v>
      </c>
      <c r="O8" s="18" t="s">
        <v>588</v>
      </c>
      <c r="Q8" s="18" t="s">
        <v>651</v>
      </c>
      <c r="S8" s="18" t="s">
        <v>599</v>
      </c>
      <c r="U8" s="18" t="s">
        <v>615</v>
      </c>
      <c r="W8" s="18" t="s">
        <v>627</v>
      </c>
      <c r="Y8" s="18" t="s">
        <v>629</v>
      </c>
    </row>
    <row r="9" spans="1:25" ht="15.75" x14ac:dyDescent="0.25">
      <c r="A9" s="16" t="s">
        <v>506</v>
      </c>
      <c r="B9" s="9"/>
      <c r="C9" s="16" t="s">
        <v>509</v>
      </c>
      <c r="D9" s="9"/>
      <c r="E9" s="17" t="s">
        <v>525</v>
      </c>
      <c r="F9" s="9"/>
      <c r="G9" s="24" t="s">
        <v>753</v>
      </c>
      <c r="H9" s="9"/>
      <c r="I9" s="18" t="s">
        <v>551</v>
      </c>
      <c r="K9" s="24"/>
      <c r="M9" s="24"/>
      <c r="O9" s="18" t="s">
        <v>757</v>
      </c>
      <c r="Q9" s="24" t="s">
        <v>652</v>
      </c>
      <c r="S9" s="18" t="s">
        <v>600</v>
      </c>
      <c r="U9" s="18" t="s">
        <v>616</v>
      </c>
      <c r="W9" s="18" t="s">
        <v>750</v>
      </c>
      <c r="Y9" s="24"/>
    </row>
    <row r="10" spans="1:25" ht="15.75" x14ac:dyDescent="0.25">
      <c r="A10" s="16" t="s">
        <v>482</v>
      </c>
      <c r="B10" s="9"/>
      <c r="C10" s="14" t="s">
        <v>506</v>
      </c>
      <c r="D10" s="9"/>
      <c r="E10" s="17"/>
      <c r="F10" s="9"/>
      <c r="G10" s="22" t="s">
        <v>3</v>
      </c>
      <c r="H10" s="9"/>
      <c r="I10" s="17" t="s">
        <v>663</v>
      </c>
      <c r="K10" s="22" t="s">
        <v>3</v>
      </c>
      <c r="M10" s="22" t="s">
        <v>3</v>
      </c>
      <c r="O10" s="24"/>
      <c r="Q10" s="18" t="s">
        <v>653</v>
      </c>
      <c r="S10" s="24" t="s">
        <v>106</v>
      </c>
      <c r="U10" s="24" t="s">
        <v>617</v>
      </c>
      <c r="W10" s="18" t="s">
        <v>756</v>
      </c>
      <c r="Y10" s="22" t="s">
        <v>85</v>
      </c>
    </row>
    <row r="11" spans="1:25" ht="15.75" x14ac:dyDescent="0.25">
      <c r="A11" s="16" t="s">
        <v>483</v>
      </c>
      <c r="B11" s="9"/>
      <c r="C11" s="16" t="s">
        <v>482</v>
      </c>
      <c r="D11" s="9"/>
      <c r="E11" s="20" t="s">
        <v>3</v>
      </c>
      <c r="F11" s="9"/>
      <c r="G11" s="18" t="s">
        <v>539</v>
      </c>
      <c r="H11" s="9"/>
      <c r="I11" s="17" t="s">
        <v>521</v>
      </c>
      <c r="K11" s="18" t="s">
        <v>558</v>
      </c>
      <c r="M11" s="18" t="s">
        <v>571</v>
      </c>
      <c r="O11" s="22" t="s">
        <v>85</v>
      </c>
      <c r="Q11" s="18" t="s">
        <v>654</v>
      </c>
      <c r="S11" s="18" t="s">
        <v>601</v>
      </c>
      <c r="U11" s="18" t="s">
        <v>618</v>
      </c>
      <c r="W11" s="24"/>
      <c r="Y11" s="24" t="s">
        <v>633</v>
      </c>
    </row>
    <row r="12" spans="1:25" ht="15.75" x14ac:dyDescent="0.25">
      <c r="A12" s="16" t="s">
        <v>498</v>
      </c>
      <c r="B12" s="9"/>
      <c r="C12" s="16"/>
      <c r="D12" s="9"/>
      <c r="E12" s="17" t="s">
        <v>526</v>
      </c>
      <c r="F12" s="9"/>
      <c r="G12" s="18" t="s">
        <v>540</v>
      </c>
      <c r="H12" s="9"/>
      <c r="I12" s="17" t="s">
        <v>664</v>
      </c>
      <c r="K12" s="18" t="s">
        <v>559</v>
      </c>
      <c r="M12" s="18" t="s">
        <v>572</v>
      </c>
      <c r="O12" s="18" t="s">
        <v>345</v>
      </c>
      <c r="Q12" s="18" t="s">
        <v>655</v>
      </c>
      <c r="S12" s="18" t="s">
        <v>602</v>
      </c>
      <c r="U12" s="18" t="s">
        <v>619</v>
      </c>
      <c r="W12" s="22" t="s">
        <v>84</v>
      </c>
      <c r="Y12" s="18" t="s">
        <v>634</v>
      </c>
    </row>
    <row r="13" spans="1:25" ht="15.75" x14ac:dyDescent="0.25">
      <c r="A13" s="14"/>
      <c r="B13" s="9"/>
      <c r="C13" s="21" t="s">
        <v>3</v>
      </c>
      <c r="D13" s="9"/>
      <c r="E13" s="17" t="s">
        <v>527</v>
      </c>
      <c r="F13" s="9"/>
      <c r="G13" s="24"/>
      <c r="H13" s="9"/>
      <c r="I13" s="17" t="s">
        <v>665</v>
      </c>
      <c r="K13" s="18" t="s">
        <v>560</v>
      </c>
      <c r="M13" s="24" t="s">
        <v>578</v>
      </c>
      <c r="O13" s="31" t="s">
        <v>592</v>
      </c>
      <c r="Q13" s="18">
        <f xml:space="preserve"> 35.4%</f>
        <v>0.35399999999999998</v>
      </c>
      <c r="S13" s="18" t="s">
        <v>603</v>
      </c>
      <c r="U13" s="24" t="s">
        <v>620</v>
      </c>
      <c r="W13" s="22" t="s">
        <v>490</v>
      </c>
      <c r="Y13" s="24" t="s">
        <v>635</v>
      </c>
    </row>
    <row r="14" spans="1:25" ht="16.5" x14ac:dyDescent="0.25">
      <c r="A14" s="22" t="s">
        <v>3</v>
      </c>
      <c r="B14" s="9"/>
      <c r="C14" s="16" t="s">
        <v>502</v>
      </c>
      <c r="D14" s="9"/>
      <c r="E14" s="17" t="s">
        <v>528</v>
      </c>
      <c r="F14" s="9"/>
      <c r="G14" s="22" t="s">
        <v>84</v>
      </c>
      <c r="H14" s="9"/>
      <c r="I14" s="17" t="s">
        <v>666</v>
      </c>
      <c r="K14" s="24"/>
      <c r="M14" s="23" t="s">
        <v>579</v>
      </c>
      <c r="O14" s="31" t="s">
        <v>593</v>
      </c>
      <c r="Q14" s="24"/>
      <c r="S14" s="18"/>
      <c r="U14" s="18" t="s">
        <v>621</v>
      </c>
      <c r="W14" s="18" t="s">
        <v>628</v>
      </c>
      <c r="Y14" s="18" t="s">
        <v>636</v>
      </c>
    </row>
    <row r="15" spans="1:25" ht="16.5" x14ac:dyDescent="0.25">
      <c r="A15" s="16" t="s">
        <v>484</v>
      </c>
      <c r="B15" s="9"/>
      <c r="C15" s="16" t="s">
        <v>752</v>
      </c>
      <c r="D15" s="9"/>
      <c r="E15" s="17" t="s">
        <v>529</v>
      </c>
      <c r="F15" s="9"/>
      <c r="G15" s="22" t="s">
        <v>490</v>
      </c>
      <c r="H15" s="9"/>
      <c r="I15" s="24"/>
      <c r="K15" s="22" t="s">
        <v>84</v>
      </c>
      <c r="M15" s="23" t="s">
        <v>580</v>
      </c>
      <c r="O15" s="31" t="s">
        <v>758</v>
      </c>
      <c r="Q15" s="22" t="s">
        <v>530</v>
      </c>
      <c r="S15" s="21" t="s">
        <v>84</v>
      </c>
      <c r="U15" s="18" t="s">
        <v>622</v>
      </c>
      <c r="W15" s="18" t="s">
        <v>629</v>
      </c>
      <c r="Y15" s="24" t="s">
        <v>637</v>
      </c>
    </row>
    <row r="16" spans="1:25" ht="16.5" x14ac:dyDescent="0.25">
      <c r="A16" s="16" t="s">
        <v>499</v>
      </c>
      <c r="B16" s="9"/>
      <c r="C16" s="16">
        <f xml:space="preserve"> 0.0039917</f>
        <v>3.9916999999999999E-3</v>
      </c>
      <c r="D16" s="9"/>
      <c r="E16" s="17" t="s">
        <v>530</v>
      </c>
      <c r="F16" s="9"/>
      <c r="G16" s="18" t="s">
        <v>541</v>
      </c>
      <c r="H16" s="9"/>
      <c r="I16" s="22" t="s">
        <v>3</v>
      </c>
      <c r="K16" s="22" t="s">
        <v>490</v>
      </c>
      <c r="M16" s="23" t="s">
        <v>581</v>
      </c>
      <c r="O16" s="31" t="s">
        <v>760</v>
      </c>
      <c r="Q16" s="17" t="s">
        <v>767</v>
      </c>
      <c r="S16" s="22" t="s">
        <v>490</v>
      </c>
      <c r="U16" s="24"/>
      <c r="W16" s="24"/>
      <c r="Y16" s="18" t="s">
        <v>638</v>
      </c>
    </row>
    <row r="17" spans="1:25" ht="16.5" x14ac:dyDescent="0.25">
      <c r="A17" s="16" t="s">
        <v>485</v>
      </c>
      <c r="B17" s="9"/>
      <c r="C17" s="17" t="s">
        <v>503</v>
      </c>
      <c r="D17" s="9"/>
      <c r="E17" s="17" t="s">
        <v>531</v>
      </c>
      <c r="F17" s="9"/>
      <c r="G17" s="18" t="s">
        <v>542</v>
      </c>
      <c r="H17" s="9"/>
      <c r="I17" s="18" t="s">
        <v>754</v>
      </c>
      <c r="K17" s="18" t="s">
        <v>561</v>
      </c>
      <c r="M17" s="23" t="s">
        <v>582</v>
      </c>
      <c r="O17" s="17" t="s">
        <v>761</v>
      </c>
      <c r="Q17" s="17" t="s">
        <v>768</v>
      </c>
      <c r="S17" s="18" t="s">
        <v>604</v>
      </c>
      <c r="U17" s="22" t="s">
        <v>84</v>
      </c>
      <c r="W17" s="22" t="s">
        <v>493</v>
      </c>
      <c r="Y17" s="22" t="s">
        <v>589</v>
      </c>
    </row>
    <row r="18" spans="1:25" ht="16.5" x14ac:dyDescent="0.25">
      <c r="A18" s="16" t="s">
        <v>486</v>
      </c>
      <c r="B18" s="9"/>
      <c r="C18" s="18" t="s">
        <v>504</v>
      </c>
      <c r="D18" s="9"/>
      <c r="E18" s="17" t="s">
        <v>532</v>
      </c>
      <c r="F18" s="9"/>
      <c r="G18" s="18" t="s">
        <v>545</v>
      </c>
      <c r="H18" s="9"/>
      <c r="I18" s="18" t="s">
        <v>745</v>
      </c>
      <c r="K18" s="18" t="s">
        <v>562</v>
      </c>
      <c r="M18" s="23" t="s">
        <v>583</v>
      </c>
      <c r="O18" s="17" t="s">
        <v>759</v>
      </c>
      <c r="Q18" s="17" t="s">
        <v>656</v>
      </c>
      <c r="S18" s="18" t="s">
        <v>605</v>
      </c>
      <c r="U18" s="22" t="s">
        <v>490</v>
      </c>
      <c r="W18" s="18" t="s">
        <v>630</v>
      </c>
      <c r="Y18" s="18" t="s">
        <v>639</v>
      </c>
    </row>
    <row r="19" spans="1:25" ht="16.5" x14ac:dyDescent="0.25">
      <c r="A19" s="16" t="s">
        <v>487</v>
      </c>
      <c r="B19" s="9"/>
      <c r="C19" s="19">
        <v>300</v>
      </c>
      <c r="D19" s="9"/>
      <c r="E19" s="17"/>
      <c r="F19" s="9"/>
      <c r="G19" s="22" t="s">
        <v>547</v>
      </c>
      <c r="H19" s="9"/>
      <c r="I19" s="24"/>
      <c r="K19" s="18"/>
      <c r="M19" s="23" t="s">
        <v>584</v>
      </c>
      <c r="O19" s="17" t="s">
        <v>762</v>
      </c>
      <c r="Q19" s="17" t="s">
        <v>657</v>
      </c>
      <c r="S19" s="24"/>
      <c r="U19" s="18" t="s">
        <v>623</v>
      </c>
      <c r="W19" s="18" t="s">
        <v>631</v>
      </c>
      <c r="Y19" s="18" t="s">
        <v>751</v>
      </c>
    </row>
    <row r="20" spans="1:25" ht="15.75" x14ac:dyDescent="0.25">
      <c r="A20" s="16" t="s">
        <v>488</v>
      </c>
      <c r="B20" s="9"/>
      <c r="C20" s="17" t="s">
        <v>52</v>
      </c>
      <c r="D20" s="9"/>
      <c r="E20" s="20" t="s">
        <v>84</v>
      </c>
      <c r="F20" s="9"/>
      <c r="G20" s="18" t="s">
        <v>543</v>
      </c>
      <c r="H20" s="9"/>
      <c r="I20" s="22" t="s">
        <v>84</v>
      </c>
      <c r="K20" s="22" t="s">
        <v>566</v>
      </c>
      <c r="M20" s="22" t="s">
        <v>589</v>
      </c>
      <c r="O20" s="17" t="s">
        <v>764</v>
      </c>
      <c r="Q20" s="17" t="s">
        <v>769</v>
      </c>
      <c r="S20" s="22" t="s">
        <v>606</v>
      </c>
      <c r="U20" s="18" t="s">
        <v>624</v>
      </c>
      <c r="Y20" s="18" t="s">
        <v>640</v>
      </c>
    </row>
    <row r="21" spans="1:25" ht="16.5" x14ac:dyDescent="0.25">
      <c r="A21" s="16" t="s">
        <v>489</v>
      </c>
      <c r="B21" s="9"/>
      <c r="C21" s="17" t="s">
        <v>510</v>
      </c>
      <c r="D21" s="9"/>
      <c r="E21" s="20" t="s">
        <v>490</v>
      </c>
      <c r="F21" s="9"/>
      <c r="G21" s="18" t="s">
        <v>544</v>
      </c>
      <c r="H21" s="9"/>
      <c r="I21" s="22" t="s">
        <v>490</v>
      </c>
      <c r="K21" s="23" t="s">
        <v>565</v>
      </c>
      <c r="M21" s="18" t="s">
        <v>746</v>
      </c>
      <c r="O21" s="17" t="s">
        <v>763</v>
      </c>
      <c r="Q21" s="17" t="s">
        <v>770</v>
      </c>
      <c r="S21" s="18" t="s">
        <v>599</v>
      </c>
      <c r="Y21" s="24"/>
    </row>
    <row r="22" spans="1:25" ht="15.75" x14ac:dyDescent="0.25">
      <c r="A22" s="16"/>
      <c r="B22" s="9"/>
      <c r="C22" s="22" t="s">
        <v>511</v>
      </c>
      <c r="D22" s="9"/>
      <c r="E22" s="17" t="s">
        <v>533</v>
      </c>
      <c r="F22" s="9"/>
      <c r="G22" s="18" t="s">
        <v>546</v>
      </c>
      <c r="H22" s="9"/>
      <c r="I22" s="17"/>
      <c r="K22" s="18" t="s">
        <v>567</v>
      </c>
      <c r="M22" s="18" t="s">
        <v>747</v>
      </c>
      <c r="O22" s="17" t="s">
        <v>765</v>
      </c>
      <c r="Q22" s="17"/>
      <c r="S22" s="18" t="s">
        <v>607</v>
      </c>
      <c r="Y22" s="22" t="s">
        <v>84</v>
      </c>
    </row>
    <row r="23" spans="1:25" ht="16.5" x14ac:dyDescent="0.25">
      <c r="A23" s="22" t="s">
        <v>84</v>
      </c>
      <c r="B23" s="9"/>
      <c r="C23" s="23" t="s">
        <v>279</v>
      </c>
      <c r="D23" s="9"/>
      <c r="E23" s="17" t="s">
        <v>534</v>
      </c>
      <c r="F23" s="9"/>
      <c r="H23" s="9"/>
      <c r="I23" s="17" t="s">
        <v>667</v>
      </c>
      <c r="K23" s="18"/>
      <c r="M23" s="18" t="s">
        <v>748</v>
      </c>
      <c r="O23" s="24"/>
      <c r="Q23" s="17" t="s">
        <v>771</v>
      </c>
      <c r="S23" s="24" t="s">
        <v>106</v>
      </c>
      <c r="Y23" s="22" t="s">
        <v>490</v>
      </c>
    </row>
    <row r="24" spans="1:25" ht="16.5" x14ac:dyDescent="0.25">
      <c r="A24" s="22" t="s">
        <v>490</v>
      </c>
      <c r="B24" s="9"/>
      <c r="C24" s="23" t="s">
        <v>512</v>
      </c>
      <c r="D24" s="9"/>
      <c r="E24" s="17"/>
      <c r="F24" s="9"/>
      <c r="H24" s="9"/>
      <c r="I24" s="17" t="s">
        <v>668</v>
      </c>
      <c r="K24" s="21" t="s">
        <v>3</v>
      </c>
      <c r="M24" s="17" t="s">
        <v>749</v>
      </c>
      <c r="O24" s="22" t="s">
        <v>84</v>
      </c>
      <c r="Q24" s="17" t="s">
        <v>772</v>
      </c>
      <c r="S24" s="18" t="s">
        <v>608</v>
      </c>
      <c r="Y24" s="18" t="s">
        <v>641</v>
      </c>
    </row>
    <row r="25" spans="1:25" ht="16.5" x14ac:dyDescent="0.25">
      <c r="A25" s="16" t="s">
        <v>508</v>
      </c>
      <c r="B25" s="9"/>
      <c r="C25" s="23" t="s">
        <v>513</v>
      </c>
      <c r="D25" s="9"/>
      <c r="E25" s="20" t="s">
        <v>493</v>
      </c>
      <c r="F25" s="9"/>
      <c r="H25" s="9"/>
      <c r="I25" s="17" t="s">
        <v>669</v>
      </c>
      <c r="K25" s="18" t="s">
        <v>755</v>
      </c>
      <c r="M25" s="17"/>
      <c r="O25" s="22" t="s">
        <v>490</v>
      </c>
      <c r="Q25" s="17" t="s">
        <v>773</v>
      </c>
      <c r="S25" s="18" t="s">
        <v>609</v>
      </c>
      <c r="Y25" s="18" t="s">
        <v>642</v>
      </c>
    </row>
    <row r="26" spans="1:25" ht="16.5" x14ac:dyDescent="0.25">
      <c r="A26" s="16" t="s">
        <v>491</v>
      </c>
      <c r="B26" s="9"/>
      <c r="C26" s="23" t="s">
        <v>514</v>
      </c>
      <c r="D26" s="9"/>
      <c r="E26" s="17" t="s">
        <v>535</v>
      </c>
      <c r="F26" s="9"/>
      <c r="H26" s="9"/>
      <c r="I26" s="17" t="s">
        <v>670</v>
      </c>
      <c r="K26" s="18"/>
      <c r="M26" s="22" t="s">
        <v>84</v>
      </c>
      <c r="O26" s="18" t="s">
        <v>594</v>
      </c>
      <c r="Q26" s="17" t="s">
        <v>774</v>
      </c>
      <c r="S26" s="18" t="s">
        <v>610</v>
      </c>
      <c r="Y26" s="18" t="s">
        <v>643</v>
      </c>
    </row>
    <row r="27" spans="1:25" ht="16.5" x14ac:dyDescent="0.25">
      <c r="A27" s="16" t="s">
        <v>492</v>
      </c>
      <c r="B27" s="9"/>
      <c r="C27" s="23" t="s">
        <v>515</v>
      </c>
      <c r="D27" s="9"/>
      <c r="E27" s="30"/>
      <c r="F27" s="9"/>
      <c r="H27" s="9"/>
      <c r="I27" s="17" t="s">
        <v>671</v>
      </c>
      <c r="K27" s="21" t="s">
        <v>84</v>
      </c>
      <c r="M27" s="22" t="s">
        <v>490</v>
      </c>
      <c r="O27" s="17" t="s">
        <v>595</v>
      </c>
      <c r="Q27" s="17" t="s">
        <v>775</v>
      </c>
      <c r="S27" s="18"/>
      <c r="Y27" s="24"/>
    </row>
    <row r="28" spans="1:25" ht="16.5" x14ac:dyDescent="0.25">
      <c r="A28" s="22" t="s">
        <v>493</v>
      </c>
      <c r="B28" s="9"/>
      <c r="C28" s="23" t="s">
        <v>516</v>
      </c>
      <c r="D28" s="9"/>
      <c r="F28" s="9"/>
      <c r="H28" s="9"/>
      <c r="I28" s="17" t="s">
        <v>672</v>
      </c>
      <c r="K28" s="22" t="s">
        <v>490</v>
      </c>
      <c r="M28" s="18" t="s">
        <v>585</v>
      </c>
      <c r="O28" s="22" t="s">
        <v>493</v>
      </c>
      <c r="Q28" s="17"/>
      <c r="S28" s="22" t="s">
        <v>493</v>
      </c>
      <c r="Y28" s="22" t="s">
        <v>493</v>
      </c>
    </row>
    <row r="29" spans="1:25" ht="16.5" x14ac:dyDescent="0.25">
      <c r="A29" s="16" t="s">
        <v>494</v>
      </c>
      <c r="B29" s="9"/>
      <c r="C29" s="23" t="s">
        <v>517</v>
      </c>
      <c r="D29" s="9"/>
      <c r="F29" s="9"/>
      <c r="H29" s="9"/>
      <c r="I29" s="24"/>
      <c r="K29" s="18" t="s">
        <v>568</v>
      </c>
      <c r="M29" s="17" t="s">
        <v>586</v>
      </c>
      <c r="O29" s="18" t="s">
        <v>590</v>
      </c>
      <c r="Q29" s="20" t="s">
        <v>85</v>
      </c>
      <c r="S29" s="18" t="s">
        <v>611</v>
      </c>
      <c r="Y29" s="18" t="s">
        <v>644</v>
      </c>
    </row>
    <row r="30" spans="1:25" ht="16.5" x14ac:dyDescent="0.25">
      <c r="A30" s="16" t="s">
        <v>495</v>
      </c>
      <c r="B30" s="9"/>
      <c r="C30" s="23" t="s">
        <v>518</v>
      </c>
      <c r="D30" s="9"/>
      <c r="F30" s="9"/>
      <c r="H30" s="9"/>
      <c r="I30" s="22" t="s">
        <v>493</v>
      </c>
      <c r="K30" s="18"/>
      <c r="M30" s="22" t="s">
        <v>493</v>
      </c>
      <c r="O30" s="26" t="s">
        <v>766</v>
      </c>
      <c r="Q30" s="20" t="s">
        <v>776</v>
      </c>
      <c r="Y30" s="18" t="s">
        <v>645</v>
      </c>
    </row>
    <row r="31" spans="1:25" ht="16.5" x14ac:dyDescent="0.25">
      <c r="C31" s="23" t="s">
        <v>519</v>
      </c>
      <c r="I31" s="18" t="s">
        <v>552</v>
      </c>
      <c r="K31" s="22" t="s">
        <v>493</v>
      </c>
      <c r="M31" s="18" t="s">
        <v>573</v>
      </c>
      <c r="Q31" s="17" t="s">
        <v>777</v>
      </c>
    </row>
    <row r="32" spans="1:25" x14ac:dyDescent="0.25">
      <c r="C32" s="24"/>
      <c r="I32" s="18" t="s">
        <v>553</v>
      </c>
      <c r="K32" s="18" t="s">
        <v>563</v>
      </c>
      <c r="M32" s="18" t="s">
        <v>574</v>
      </c>
      <c r="Q32" s="17" t="s">
        <v>778</v>
      </c>
    </row>
    <row r="33" spans="3:17" x14ac:dyDescent="0.25">
      <c r="C33" s="22" t="s">
        <v>84</v>
      </c>
      <c r="I33" s="17" t="s">
        <v>673</v>
      </c>
      <c r="K33" s="18" t="s">
        <v>569</v>
      </c>
      <c r="Q33" s="17" t="s">
        <v>779</v>
      </c>
    </row>
    <row r="34" spans="3:17" x14ac:dyDescent="0.25">
      <c r="C34" s="22" t="s">
        <v>490</v>
      </c>
      <c r="I34" s="17" t="s">
        <v>674</v>
      </c>
      <c r="Q34" s="17" t="s">
        <v>780</v>
      </c>
    </row>
    <row r="35" spans="3:17" ht="16.5" x14ac:dyDescent="0.25">
      <c r="C35" s="23" t="s">
        <v>520</v>
      </c>
      <c r="I35" s="17" t="s">
        <v>675</v>
      </c>
      <c r="Q35" s="17" t="s">
        <v>781</v>
      </c>
    </row>
    <row r="36" spans="3:17" ht="16.5" x14ac:dyDescent="0.25">
      <c r="C36" s="23" t="s">
        <v>521</v>
      </c>
      <c r="I36" s="17" t="s">
        <v>676</v>
      </c>
      <c r="Q36" s="32" t="s">
        <v>782</v>
      </c>
    </row>
    <row r="37" spans="3:17" x14ac:dyDescent="0.25">
      <c r="I37" s="17" t="s">
        <v>677</v>
      </c>
      <c r="Q37" s="18" t="s">
        <v>783</v>
      </c>
    </row>
    <row r="38" spans="3:17" x14ac:dyDescent="0.25">
      <c r="Q38" s="17" t="s">
        <v>784</v>
      </c>
    </row>
    <row r="39" spans="3:17" x14ac:dyDescent="0.25">
      <c r="Q39" s="17" t="s">
        <v>785</v>
      </c>
    </row>
    <row r="40" spans="3:17" x14ac:dyDescent="0.25">
      <c r="Q40" s="17" t="s">
        <v>786</v>
      </c>
    </row>
    <row r="41" spans="3:17" x14ac:dyDescent="0.25">
      <c r="Q41" s="17" t="s">
        <v>787</v>
      </c>
    </row>
    <row r="42" spans="3:17" x14ac:dyDescent="0.25">
      <c r="Q42" s="20" t="s">
        <v>788</v>
      </c>
    </row>
    <row r="43" spans="3:17" x14ac:dyDescent="0.25">
      <c r="Q43" s="33" t="s">
        <v>789</v>
      </c>
    </row>
    <row r="44" spans="3:17" x14ac:dyDescent="0.25">
      <c r="Q44" s="17" t="s">
        <v>521</v>
      </c>
    </row>
    <row r="45" spans="3:17" x14ac:dyDescent="0.25">
      <c r="Q45" s="17" t="s">
        <v>790</v>
      </c>
    </row>
    <row r="46" spans="3:17" x14ac:dyDescent="0.25">
      <c r="Q46" s="17" t="s">
        <v>791</v>
      </c>
    </row>
    <row r="47" spans="3:17" x14ac:dyDescent="0.25">
      <c r="Q47" s="17" t="s">
        <v>792</v>
      </c>
    </row>
    <row r="48" spans="3:17" x14ac:dyDescent="0.25">
      <c r="Q48" s="17" t="s">
        <v>793</v>
      </c>
    </row>
    <row r="49" spans="17:17" ht="16.5" x14ac:dyDescent="0.25">
      <c r="Q49" s="26" t="s">
        <v>794</v>
      </c>
    </row>
    <row r="50" spans="17:17" ht="16.5" x14ac:dyDescent="0.25">
      <c r="Q50" s="23" t="s">
        <v>795</v>
      </c>
    </row>
    <row r="51" spans="17:17" ht="16.5" x14ac:dyDescent="0.25">
      <c r="Q51" s="23" t="s">
        <v>796</v>
      </c>
    </row>
    <row r="52" spans="17:17" ht="16.5" x14ac:dyDescent="0.25">
      <c r="Q52" s="23" t="s">
        <v>800</v>
      </c>
    </row>
    <row r="53" spans="17:17" ht="16.5" x14ac:dyDescent="0.25">
      <c r="Q53" s="23" t="s">
        <v>801</v>
      </c>
    </row>
    <row r="54" spans="17:17" ht="16.5" x14ac:dyDescent="0.25">
      <c r="Q54" s="23" t="s">
        <v>802</v>
      </c>
    </row>
    <row r="55" spans="17:17" ht="16.5" x14ac:dyDescent="0.25">
      <c r="Q55" s="26" t="s">
        <v>823</v>
      </c>
    </row>
    <row r="56" spans="17:17" ht="16.5" x14ac:dyDescent="0.25">
      <c r="Q56" s="23" t="s">
        <v>797</v>
      </c>
    </row>
    <row r="57" spans="17:17" ht="16.5" x14ac:dyDescent="0.25">
      <c r="Q57" s="23" t="s">
        <v>798</v>
      </c>
    </row>
    <row r="58" spans="17:17" ht="16.5" x14ac:dyDescent="0.25">
      <c r="Q58" s="23" t="s">
        <v>799</v>
      </c>
    </row>
    <row r="59" spans="17:17" x14ac:dyDescent="0.25">
      <c r="Q59" s="17"/>
    </row>
    <row r="60" spans="17:17" x14ac:dyDescent="0.25">
      <c r="Q60" s="20" t="s">
        <v>84</v>
      </c>
    </row>
    <row r="61" spans="17:17" x14ac:dyDescent="0.25">
      <c r="Q61" s="20" t="s">
        <v>803</v>
      </c>
    </row>
    <row r="62" spans="17:17" x14ac:dyDescent="0.25">
      <c r="Q62" s="17" t="s">
        <v>804</v>
      </c>
    </row>
    <row r="63" spans="17:17" x14ac:dyDescent="0.25">
      <c r="Q63" s="17" t="s">
        <v>658</v>
      </c>
    </row>
    <row r="64" spans="17:17" x14ac:dyDescent="0.25">
      <c r="Q64" s="17" t="s">
        <v>659</v>
      </c>
    </row>
    <row r="65" spans="17:17" x14ac:dyDescent="0.25">
      <c r="Q65" s="17" t="s">
        <v>783</v>
      </c>
    </row>
    <row r="66" spans="17:17" x14ac:dyDescent="0.25">
      <c r="Q66" s="17" t="s">
        <v>805</v>
      </c>
    </row>
    <row r="67" spans="17:17" x14ac:dyDescent="0.25">
      <c r="Q67" s="17" t="s">
        <v>806</v>
      </c>
    </row>
    <row r="68" spans="17:17" x14ac:dyDescent="0.25">
      <c r="Q68" s="17" t="s">
        <v>807</v>
      </c>
    </row>
    <row r="69" spans="17:17" x14ac:dyDescent="0.25">
      <c r="Q69" s="17"/>
    </row>
    <row r="70" spans="17:17" x14ac:dyDescent="0.25">
      <c r="Q70" s="20" t="s">
        <v>808</v>
      </c>
    </row>
    <row r="71" spans="17:17" x14ac:dyDescent="0.25">
      <c r="Q71" s="17" t="s">
        <v>809</v>
      </c>
    </row>
    <row r="72" spans="17:17" x14ac:dyDescent="0.25">
      <c r="Q72" s="17" t="s">
        <v>810</v>
      </c>
    </row>
    <row r="73" spans="17:17" x14ac:dyDescent="0.25">
      <c r="Q73" s="17" t="s">
        <v>660</v>
      </c>
    </row>
    <row r="74" spans="17:17" x14ac:dyDescent="0.25">
      <c r="Q74" s="17" t="s">
        <v>811</v>
      </c>
    </row>
    <row r="75" spans="17:17" x14ac:dyDescent="0.25">
      <c r="Q75" s="17" t="s">
        <v>812</v>
      </c>
    </row>
    <row r="76" spans="17:17" x14ac:dyDescent="0.25">
      <c r="Q76" s="17" t="s">
        <v>813</v>
      </c>
    </row>
    <row r="77" spans="17:17" x14ac:dyDescent="0.25">
      <c r="Q77" s="17" t="s">
        <v>814</v>
      </c>
    </row>
    <row r="78" spans="17:17" x14ac:dyDescent="0.25">
      <c r="Q78" s="17" t="s">
        <v>815</v>
      </c>
    </row>
    <row r="79" spans="17:17" x14ac:dyDescent="0.25">
      <c r="Q79" s="17" t="s">
        <v>816</v>
      </c>
    </row>
    <row r="80" spans="17:17" x14ac:dyDescent="0.25">
      <c r="Q80" s="17"/>
    </row>
    <row r="81" spans="17:17" x14ac:dyDescent="0.25">
      <c r="Q81" s="20" t="s">
        <v>493</v>
      </c>
    </row>
    <row r="82" spans="17:17" x14ac:dyDescent="0.25">
      <c r="Q82" s="17" t="s">
        <v>661</v>
      </c>
    </row>
    <row r="83" spans="17:17" x14ac:dyDescent="0.25">
      <c r="Q83" s="17" t="s">
        <v>817</v>
      </c>
    </row>
    <row r="84" spans="17:17" x14ac:dyDescent="0.25">
      <c r="Q84" s="17" t="s">
        <v>820</v>
      </c>
    </row>
    <row r="85" spans="17:17" x14ac:dyDescent="0.25">
      <c r="Q85" s="17" t="s">
        <v>821</v>
      </c>
    </row>
    <row r="86" spans="17:17" x14ac:dyDescent="0.25">
      <c r="Q86" s="17" t="s">
        <v>822</v>
      </c>
    </row>
    <row r="87" spans="17:17" x14ac:dyDescent="0.25">
      <c r="Q87" s="17" t="s">
        <v>818</v>
      </c>
    </row>
    <row r="88" spans="17:17" x14ac:dyDescent="0.25">
      <c r="Q88" s="17" t="s">
        <v>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BE2F-B3D5-4687-B572-D9A673DFCAF9}">
  <dimension ref="B2:Z81"/>
  <sheetViews>
    <sheetView showGridLines="0" zoomScale="85" zoomScaleNormal="85" workbookViewId="0">
      <selection activeCell="AC20" sqref="AC20"/>
    </sheetView>
  </sheetViews>
  <sheetFormatPr defaultRowHeight="15" x14ac:dyDescent="0.25"/>
  <cols>
    <col min="1" max="1" width="3.28515625" style="1" customWidth="1"/>
    <col min="2" max="2" width="38.85546875" style="1" customWidth="1"/>
    <col min="3" max="3" width="3" style="1" customWidth="1"/>
    <col min="4" max="4" width="39.5703125" style="1" customWidth="1"/>
    <col min="5" max="5" width="2.42578125" style="1" customWidth="1"/>
    <col min="6" max="6" width="42.5703125" style="1" customWidth="1"/>
    <col min="7" max="7" width="2.7109375" style="1" customWidth="1"/>
    <col min="8" max="8" width="41" style="1" customWidth="1"/>
    <col min="9" max="9" width="2.5703125" style="1" customWidth="1"/>
    <col min="10" max="10" width="40.7109375" style="1" customWidth="1"/>
    <col min="11" max="11" width="2.28515625" style="1" customWidth="1"/>
    <col min="12" max="12" width="39.5703125" style="1" customWidth="1"/>
    <col min="13" max="13" width="3.140625" style="1" customWidth="1"/>
    <col min="14" max="14" width="41.5703125" style="1" customWidth="1"/>
    <col min="15" max="15" width="3.5703125" style="1" customWidth="1"/>
    <col min="16" max="16" width="40.7109375" style="1" customWidth="1"/>
    <col min="17" max="17" width="2.85546875" style="1" customWidth="1"/>
    <col min="18" max="18" width="37.7109375" style="1" customWidth="1"/>
    <col min="19" max="19" width="2.5703125" style="1" customWidth="1"/>
    <col min="20" max="20" width="39.7109375" style="1" customWidth="1"/>
    <col min="21" max="21" width="2.7109375" style="1" customWidth="1"/>
    <col min="22" max="22" width="39.28515625" style="1" customWidth="1"/>
    <col min="23" max="23" width="2.5703125" style="1" customWidth="1"/>
    <col min="24" max="24" width="41.7109375" style="1" customWidth="1"/>
    <col min="25" max="25" width="2.5703125" style="1" customWidth="1"/>
    <col min="26" max="26" width="43.5703125" style="1" customWidth="1"/>
    <col min="27" max="16384" width="9.140625" style="1"/>
  </cols>
  <sheetData>
    <row r="2" spans="2:26" ht="20.25" customHeight="1" x14ac:dyDescent="0.25">
      <c r="B2" s="3" t="s">
        <v>82</v>
      </c>
      <c r="D2" s="3" t="s">
        <v>93</v>
      </c>
      <c r="F2" s="3" t="s">
        <v>152</v>
      </c>
      <c r="H2" s="3" t="s">
        <v>161</v>
      </c>
      <c r="J2" s="3" t="s">
        <v>160</v>
      </c>
      <c r="L2" s="3" t="s">
        <v>169</v>
      </c>
      <c r="N2" s="3" t="s">
        <v>178</v>
      </c>
      <c r="P2" s="3" t="s">
        <v>190</v>
      </c>
      <c r="R2" s="3" t="s">
        <v>199</v>
      </c>
      <c r="T2" s="3" t="s">
        <v>205</v>
      </c>
      <c r="V2" s="3" t="s">
        <v>211</v>
      </c>
      <c r="X2" s="3" t="s">
        <v>218</v>
      </c>
      <c r="Z2" s="3" t="s">
        <v>225</v>
      </c>
    </row>
    <row r="3" spans="2:26" x14ac:dyDescent="0.25">
      <c r="B3" s="4" t="s">
        <v>13</v>
      </c>
      <c r="D3" s="4" t="s">
        <v>13</v>
      </c>
      <c r="F3" s="4" t="s">
        <v>13</v>
      </c>
      <c r="H3" s="4" t="s">
        <v>13</v>
      </c>
      <c r="J3" s="4" t="s">
        <v>13</v>
      </c>
      <c r="L3" s="4" t="s">
        <v>13</v>
      </c>
      <c r="N3" s="4" t="s">
        <v>13</v>
      </c>
      <c r="P3" s="4" t="s">
        <v>13</v>
      </c>
      <c r="R3" s="4" t="s">
        <v>13</v>
      </c>
      <c r="T3" s="4" t="s">
        <v>13</v>
      </c>
      <c r="V3" s="4" t="s">
        <v>13</v>
      </c>
      <c r="X3" s="4" t="s">
        <v>13</v>
      </c>
      <c r="Z3" s="4" t="s">
        <v>13</v>
      </c>
    </row>
    <row r="4" spans="2:26" ht="30" x14ac:dyDescent="0.25">
      <c r="B4" s="5" t="s">
        <v>90</v>
      </c>
      <c r="D4" s="5" t="s">
        <v>92</v>
      </c>
      <c r="F4" s="5" t="s">
        <v>101</v>
      </c>
      <c r="H4" s="5" t="s">
        <v>153</v>
      </c>
      <c r="J4" s="5" t="s">
        <v>163</v>
      </c>
      <c r="L4" s="5" t="s">
        <v>170</v>
      </c>
      <c r="N4" s="5" t="s">
        <v>180</v>
      </c>
      <c r="P4" s="5" t="s">
        <v>191</v>
      </c>
      <c r="R4" s="5" t="s">
        <v>200</v>
      </c>
      <c r="T4" s="5" t="s">
        <v>206</v>
      </c>
      <c r="V4" s="5" t="s">
        <v>212</v>
      </c>
      <c r="X4" s="5" t="s">
        <v>219</v>
      </c>
      <c r="Z4" s="5" t="s">
        <v>226</v>
      </c>
    </row>
    <row r="5" spans="2:26" x14ac:dyDescent="0.25">
      <c r="B5" s="5"/>
      <c r="D5" s="5"/>
      <c r="F5" s="5"/>
      <c r="H5" s="5"/>
      <c r="J5" s="5"/>
      <c r="L5" s="5"/>
      <c r="N5" s="5"/>
      <c r="P5" s="5"/>
      <c r="R5" s="5"/>
      <c r="T5" s="5"/>
      <c r="V5" s="5"/>
      <c r="X5" s="5"/>
      <c r="Z5" s="5"/>
    </row>
    <row r="6" spans="2:26" x14ac:dyDescent="0.25">
      <c r="B6" s="4" t="s">
        <v>83</v>
      </c>
      <c r="D6" s="4" t="s">
        <v>179</v>
      </c>
      <c r="F6" s="4" t="s">
        <v>179</v>
      </c>
      <c r="H6" s="4" t="s">
        <v>179</v>
      </c>
      <c r="J6" s="4" t="s">
        <v>179</v>
      </c>
      <c r="L6" s="4" t="s">
        <v>179</v>
      </c>
      <c r="N6" s="4" t="s">
        <v>83</v>
      </c>
      <c r="P6" s="4" t="s">
        <v>83</v>
      </c>
      <c r="R6" s="4" t="s">
        <v>179</v>
      </c>
      <c r="T6" s="4" t="s">
        <v>179</v>
      </c>
      <c r="V6" s="4" t="s">
        <v>83</v>
      </c>
      <c r="X6" s="4" t="s">
        <v>179</v>
      </c>
      <c r="Z6" s="4" t="s">
        <v>83</v>
      </c>
    </row>
    <row r="7" spans="2:26" ht="45" x14ac:dyDescent="0.25">
      <c r="B7" s="5" t="s">
        <v>25</v>
      </c>
      <c r="D7" s="5" t="s">
        <v>29</v>
      </c>
      <c r="F7" s="5" t="s">
        <v>19</v>
      </c>
      <c r="H7" s="5" t="s">
        <v>36</v>
      </c>
      <c r="J7" s="5" t="s">
        <v>162</v>
      </c>
      <c r="L7" s="5" t="s">
        <v>171</v>
      </c>
      <c r="N7" s="5" t="s">
        <v>181</v>
      </c>
      <c r="P7" s="5" t="s">
        <v>51</v>
      </c>
      <c r="R7" s="5" t="s">
        <v>54</v>
      </c>
      <c r="T7" s="5" t="s">
        <v>60</v>
      </c>
      <c r="V7" s="5" t="s">
        <v>213</v>
      </c>
      <c r="X7" s="5" t="s">
        <v>70</v>
      </c>
      <c r="Z7" s="5" t="s">
        <v>76</v>
      </c>
    </row>
    <row r="8" spans="2:26" x14ac:dyDescent="0.25">
      <c r="B8" s="5" t="s">
        <v>26</v>
      </c>
      <c r="D8" s="5" t="s">
        <v>21</v>
      </c>
      <c r="F8" s="5" t="s">
        <v>20</v>
      </c>
      <c r="H8" s="5" t="s">
        <v>37</v>
      </c>
      <c r="J8" s="5" t="s">
        <v>34</v>
      </c>
      <c r="L8" s="5" t="s">
        <v>14</v>
      </c>
      <c r="N8" s="5" t="s">
        <v>47</v>
      </c>
      <c r="P8" s="5" t="s">
        <v>43</v>
      </c>
      <c r="R8" s="5" t="s">
        <v>55</v>
      </c>
      <c r="T8" s="5" t="s">
        <v>61</v>
      </c>
      <c r="V8" s="5" t="s">
        <v>66</v>
      </c>
      <c r="X8" s="5" t="s">
        <v>71</v>
      </c>
      <c r="Z8" s="5" t="s">
        <v>68</v>
      </c>
    </row>
    <row r="9" spans="2:26" x14ac:dyDescent="0.25">
      <c r="B9" s="5" t="s">
        <v>27</v>
      </c>
      <c r="D9" s="5" t="s">
        <v>30</v>
      </c>
      <c r="F9" s="5" t="s">
        <v>33</v>
      </c>
      <c r="H9" s="5" t="s">
        <v>38</v>
      </c>
      <c r="J9" s="5" t="s">
        <v>35</v>
      </c>
      <c r="L9" s="5" t="s">
        <v>42</v>
      </c>
      <c r="N9" s="5" t="s">
        <v>48</v>
      </c>
      <c r="P9" s="5" t="s">
        <v>45</v>
      </c>
      <c r="R9" s="5" t="s">
        <v>56</v>
      </c>
      <c r="T9" s="5" t="s">
        <v>71</v>
      </c>
      <c r="V9" s="5" t="s">
        <v>67</v>
      </c>
      <c r="X9" s="5" t="s">
        <v>72</v>
      </c>
      <c r="Z9" s="5" t="s">
        <v>20</v>
      </c>
    </row>
    <row r="10" spans="2:26" x14ac:dyDescent="0.25">
      <c r="B10" s="5" t="s">
        <v>28</v>
      </c>
      <c r="D10" s="5" t="s">
        <v>31</v>
      </c>
      <c r="F10" s="5"/>
      <c r="H10" s="5" t="s">
        <v>39</v>
      </c>
      <c r="J10" s="5"/>
      <c r="L10" s="5"/>
      <c r="N10" s="5" t="s">
        <v>81</v>
      </c>
      <c r="P10" s="5" t="s">
        <v>52</v>
      </c>
      <c r="R10" s="5" t="s">
        <v>57</v>
      </c>
      <c r="T10" s="5" t="s">
        <v>207</v>
      </c>
      <c r="V10" s="5" t="s">
        <v>217</v>
      </c>
      <c r="X10" s="5" t="s">
        <v>73</v>
      </c>
      <c r="Z10" s="5" t="s">
        <v>43</v>
      </c>
    </row>
    <row r="11" spans="2:26" x14ac:dyDescent="0.25">
      <c r="B11" s="5"/>
      <c r="D11" s="5" t="s">
        <v>22</v>
      </c>
      <c r="F11" s="4" t="s">
        <v>85</v>
      </c>
      <c r="H11" s="5"/>
      <c r="J11" s="5"/>
      <c r="L11" s="5"/>
      <c r="N11" s="5" t="s">
        <v>49</v>
      </c>
      <c r="P11" s="5" t="s">
        <v>53</v>
      </c>
      <c r="R11" s="5" t="s">
        <v>58</v>
      </c>
      <c r="T11" s="5" t="s">
        <v>62</v>
      </c>
      <c r="V11" s="5" t="s">
        <v>68</v>
      </c>
      <c r="X11" s="5" t="s">
        <v>74</v>
      </c>
      <c r="Z11" s="5" t="s">
        <v>45</v>
      </c>
    </row>
    <row r="12" spans="2:26" ht="30" x14ac:dyDescent="0.25">
      <c r="B12" s="4" t="s">
        <v>85</v>
      </c>
      <c r="D12" s="5" t="s">
        <v>18</v>
      </c>
      <c r="F12" s="5" t="s">
        <v>102</v>
      </c>
      <c r="H12" s="5"/>
      <c r="J12" s="4" t="s">
        <v>85</v>
      </c>
      <c r="L12" s="4" t="s">
        <v>172</v>
      </c>
      <c r="N12" s="5" t="s">
        <v>50</v>
      </c>
      <c r="P12" s="5" t="s">
        <v>197</v>
      </c>
      <c r="R12" s="5" t="s">
        <v>59</v>
      </c>
      <c r="T12" s="5" t="s">
        <v>63</v>
      </c>
      <c r="V12" s="5" t="s">
        <v>69</v>
      </c>
      <c r="X12" s="5"/>
      <c r="Z12" s="5" t="s">
        <v>77</v>
      </c>
    </row>
    <row r="13" spans="2:26" ht="45" x14ac:dyDescent="0.25">
      <c r="B13" s="5" t="s">
        <v>86</v>
      </c>
      <c r="D13" s="5" t="s">
        <v>32</v>
      </c>
      <c r="F13" s="5"/>
      <c r="H13" s="4" t="s">
        <v>85</v>
      </c>
      <c r="J13" s="5" t="s">
        <v>164</v>
      </c>
      <c r="L13" s="5" t="s">
        <v>173</v>
      </c>
      <c r="N13" s="5" t="s">
        <v>187</v>
      </c>
      <c r="P13" s="4"/>
      <c r="R13" s="5"/>
      <c r="T13" s="5" t="s">
        <v>79</v>
      </c>
      <c r="V13" s="5"/>
      <c r="X13" s="5"/>
      <c r="Z13" s="5"/>
    </row>
    <row r="14" spans="2:26" ht="105" x14ac:dyDescent="0.25">
      <c r="B14" s="5" t="s">
        <v>87</v>
      </c>
      <c r="D14" s="5" t="s">
        <v>19</v>
      </c>
      <c r="F14" s="5" t="s">
        <v>103</v>
      </c>
      <c r="H14" s="5" t="s">
        <v>159</v>
      </c>
      <c r="J14" s="5" t="s">
        <v>165</v>
      </c>
      <c r="L14" s="6" t="s">
        <v>175</v>
      </c>
      <c r="N14" s="5" t="s">
        <v>78</v>
      </c>
      <c r="P14" s="4" t="s">
        <v>172</v>
      </c>
      <c r="R14" s="4" t="s">
        <v>172</v>
      </c>
      <c r="T14" s="5" t="s">
        <v>80</v>
      </c>
      <c r="V14" s="4" t="s">
        <v>172</v>
      </c>
      <c r="X14" s="4" t="s">
        <v>172</v>
      </c>
      <c r="Z14" s="4" t="s">
        <v>172</v>
      </c>
    </row>
    <row r="15" spans="2:26" ht="45" x14ac:dyDescent="0.25">
      <c r="B15" s="5" t="s">
        <v>88</v>
      </c>
      <c r="D15" s="5" t="s">
        <v>20</v>
      </c>
      <c r="F15" s="5" t="s">
        <v>104</v>
      </c>
      <c r="H15" s="5" t="s">
        <v>154</v>
      </c>
      <c r="J15" s="5"/>
      <c r="L15" s="5"/>
      <c r="N15" s="5"/>
      <c r="P15" s="5" t="s">
        <v>192</v>
      </c>
      <c r="R15" s="5"/>
      <c r="T15" s="5"/>
      <c r="V15" s="5" t="s">
        <v>223</v>
      </c>
      <c r="X15" s="5" t="s">
        <v>222</v>
      </c>
      <c r="Z15" s="5" t="s">
        <v>227</v>
      </c>
    </row>
    <row r="16" spans="2:26" ht="60" x14ac:dyDescent="0.25">
      <c r="B16" s="5" t="s">
        <v>89</v>
      </c>
      <c r="D16" s="5" t="s">
        <v>33</v>
      </c>
      <c r="F16" s="5" t="s">
        <v>105</v>
      </c>
      <c r="H16" s="5" t="s">
        <v>155</v>
      </c>
      <c r="J16" s="5"/>
      <c r="L16" s="5"/>
      <c r="N16" s="4" t="s">
        <v>172</v>
      </c>
      <c r="P16" s="5" t="s">
        <v>193</v>
      </c>
      <c r="R16" s="5" t="s">
        <v>224</v>
      </c>
      <c r="T16" s="4" t="s">
        <v>172</v>
      </c>
      <c r="V16" s="5" t="s">
        <v>214</v>
      </c>
      <c r="X16" s="5"/>
      <c r="Z16" s="5" t="s">
        <v>228</v>
      </c>
    </row>
    <row r="17" spans="2:26" ht="30" x14ac:dyDescent="0.25">
      <c r="B17" s="5"/>
      <c r="D17" s="5" t="s">
        <v>150</v>
      </c>
      <c r="F17" s="5"/>
      <c r="H17" s="5" t="s">
        <v>156</v>
      </c>
      <c r="J17" s="5"/>
      <c r="L17" s="4" t="s">
        <v>174</v>
      </c>
      <c r="N17" s="5" t="s">
        <v>183</v>
      </c>
      <c r="P17" s="5" t="s">
        <v>194</v>
      </c>
      <c r="R17" s="5" t="s">
        <v>203</v>
      </c>
      <c r="T17" s="5" t="s">
        <v>208</v>
      </c>
      <c r="V17" s="5"/>
      <c r="X17" s="5"/>
      <c r="Z17" s="5"/>
    </row>
    <row r="18" spans="2:26" x14ac:dyDescent="0.25">
      <c r="B18" s="4" t="s">
        <v>84</v>
      </c>
      <c r="D18" s="5"/>
      <c r="F18" s="5" t="s">
        <v>106</v>
      </c>
      <c r="H18" s="5"/>
      <c r="J18" s="5"/>
      <c r="L18" s="4" t="s">
        <v>166</v>
      </c>
      <c r="N18" s="5" t="s">
        <v>184</v>
      </c>
      <c r="P18" s="5" t="s">
        <v>195</v>
      </c>
      <c r="R18" s="5"/>
      <c r="T18" s="5"/>
      <c r="V18" s="5"/>
      <c r="X18" s="5"/>
      <c r="Z18" s="5"/>
    </row>
    <row r="19" spans="2:26" ht="30" x14ac:dyDescent="0.25">
      <c r="B19" s="5" t="s">
        <v>98</v>
      </c>
      <c r="D19" s="4" t="s">
        <v>85</v>
      </c>
      <c r="F19" s="5" t="s">
        <v>107</v>
      </c>
      <c r="H19" s="5"/>
      <c r="J19" s="4" t="s">
        <v>84</v>
      </c>
      <c r="L19" s="5" t="s">
        <v>176</v>
      </c>
      <c r="N19" s="5"/>
      <c r="P19" s="5" t="s">
        <v>196</v>
      </c>
      <c r="R19" s="4" t="s">
        <v>174</v>
      </c>
      <c r="T19" s="4" t="s">
        <v>174</v>
      </c>
      <c r="V19" s="4" t="s">
        <v>174</v>
      </c>
      <c r="X19" s="4" t="s">
        <v>84</v>
      </c>
      <c r="Z19" s="4" t="s">
        <v>84</v>
      </c>
    </row>
    <row r="20" spans="2:26" ht="60" x14ac:dyDescent="0.25">
      <c r="B20" s="5"/>
      <c r="D20" s="5" t="s">
        <v>94</v>
      </c>
      <c r="F20" s="5" t="s">
        <v>24</v>
      </c>
      <c r="H20" s="5"/>
      <c r="J20" s="4" t="s">
        <v>166</v>
      </c>
      <c r="L20" s="5"/>
      <c r="N20" s="4" t="s">
        <v>174</v>
      </c>
      <c r="P20" s="5"/>
      <c r="R20" s="4" t="s">
        <v>201</v>
      </c>
      <c r="T20" s="5" t="s">
        <v>209</v>
      </c>
      <c r="V20" s="5" t="s">
        <v>215</v>
      </c>
      <c r="X20" s="5" t="s">
        <v>220</v>
      </c>
      <c r="Z20" s="5" t="s">
        <v>229</v>
      </c>
    </row>
    <row r="21" spans="2:26" ht="45" x14ac:dyDescent="0.25">
      <c r="B21" s="5" t="s">
        <v>97</v>
      </c>
      <c r="D21" s="5" t="s">
        <v>99</v>
      </c>
      <c r="F21" s="5"/>
      <c r="H21" s="4" t="s">
        <v>84</v>
      </c>
      <c r="J21" s="5" t="s">
        <v>167</v>
      </c>
      <c r="L21" s="5"/>
      <c r="N21" s="4" t="s">
        <v>166</v>
      </c>
      <c r="P21" s="4" t="s">
        <v>174</v>
      </c>
      <c r="R21" s="5" t="s">
        <v>202</v>
      </c>
      <c r="T21" s="5" t="s">
        <v>210</v>
      </c>
      <c r="V21" s="5" t="s">
        <v>216</v>
      </c>
      <c r="X21" s="5" t="s">
        <v>221</v>
      </c>
      <c r="Z21" s="5" t="s">
        <v>230</v>
      </c>
    </row>
    <row r="22" spans="2:26" ht="60" x14ac:dyDescent="0.25">
      <c r="D22" s="5" t="s">
        <v>95</v>
      </c>
      <c r="F22" s="4" t="s">
        <v>84</v>
      </c>
      <c r="H22" s="4" t="s">
        <v>91</v>
      </c>
      <c r="J22" s="5" t="s">
        <v>108</v>
      </c>
      <c r="L22" s="5" t="s">
        <v>108</v>
      </c>
      <c r="N22" s="5" t="s">
        <v>185</v>
      </c>
      <c r="P22" s="4" t="s">
        <v>198</v>
      </c>
    </row>
    <row r="23" spans="2:26" ht="90" x14ac:dyDescent="0.25">
      <c r="D23" s="5" t="s">
        <v>96</v>
      </c>
      <c r="F23" s="5" t="s">
        <v>109</v>
      </c>
      <c r="H23" s="5" t="s">
        <v>158</v>
      </c>
      <c r="J23" s="5" t="s">
        <v>168</v>
      </c>
      <c r="L23" s="5" t="s">
        <v>177</v>
      </c>
      <c r="N23" s="5" t="s">
        <v>188</v>
      </c>
      <c r="P23" s="5" t="s">
        <v>204</v>
      </c>
    </row>
    <row r="24" spans="2:26" x14ac:dyDescent="0.25">
      <c r="D24" s="5"/>
      <c r="F24" s="5"/>
      <c r="H24" s="5"/>
      <c r="N24" s="5"/>
    </row>
    <row r="25" spans="2:26" ht="30" x14ac:dyDescent="0.25">
      <c r="D25" s="4" t="s">
        <v>84</v>
      </c>
      <c r="F25" s="5" t="s">
        <v>182</v>
      </c>
      <c r="H25" s="5"/>
      <c r="N25" s="5" t="s">
        <v>108</v>
      </c>
    </row>
    <row r="26" spans="2:26" ht="45" x14ac:dyDescent="0.25">
      <c r="D26" s="5" t="s">
        <v>100</v>
      </c>
      <c r="F26" s="4" t="s">
        <v>103</v>
      </c>
      <c r="H26" s="5" t="s">
        <v>108</v>
      </c>
      <c r="N26" s="5" t="s">
        <v>186</v>
      </c>
    </row>
    <row r="27" spans="2:26" ht="105" x14ac:dyDescent="0.25">
      <c r="D27" s="5"/>
      <c r="F27" s="5" t="s">
        <v>110</v>
      </c>
      <c r="H27" s="5" t="s">
        <v>157</v>
      </c>
      <c r="N27" s="5" t="s">
        <v>189</v>
      </c>
    </row>
    <row r="28" spans="2:26" ht="105.75" customHeight="1" x14ac:dyDescent="0.25">
      <c r="D28" s="5" t="s">
        <v>151</v>
      </c>
      <c r="F28" s="5" t="s">
        <v>111</v>
      </c>
    </row>
    <row r="29" spans="2:26" ht="120" x14ac:dyDescent="0.25">
      <c r="D29" s="5"/>
      <c r="F29" s="5" t="s">
        <v>149</v>
      </c>
    </row>
    <row r="30" spans="2:26" x14ac:dyDescent="0.25">
      <c r="D30" s="5"/>
      <c r="F30" s="5"/>
    </row>
    <row r="31" spans="2:26" x14ac:dyDescent="0.25">
      <c r="F31" s="4" t="s">
        <v>116</v>
      </c>
    </row>
    <row r="32" spans="2:26" x14ac:dyDescent="0.25">
      <c r="F32" s="5" t="s">
        <v>112</v>
      </c>
    </row>
    <row r="33" spans="6:6" x14ac:dyDescent="0.25">
      <c r="F33" s="5" t="s">
        <v>113</v>
      </c>
    </row>
    <row r="34" spans="6:6" x14ac:dyDescent="0.25">
      <c r="F34" s="5" t="s">
        <v>114</v>
      </c>
    </row>
    <row r="35" spans="6:6" x14ac:dyDescent="0.25">
      <c r="F35" s="5" t="s">
        <v>115</v>
      </c>
    </row>
    <row r="36" spans="6:6" x14ac:dyDescent="0.25">
      <c r="F36" s="5" t="s">
        <v>23</v>
      </c>
    </row>
    <row r="37" spans="6:6" x14ac:dyDescent="0.25">
      <c r="F37" s="5"/>
    </row>
    <row r="38" spans="6:6" x14ac:dyDescent="0.25">
      <c r="F38" s="5" t="s">
        <v>117</v>
      </c>
    </row>
    <row r="39" spans="6:6" x14ac:dyDescent="0.25">
      <c r="F39" s="5" t="s">
        <v>118</v>
      </c>
    </row>
    <row r="40" spans="6:6" x14ac:dyDescent="0.25">
      <c r="F40" s="5" t="s">
        <v>119</v>
      </c>
    </row>
    <row r="41" spans="6:6" x14ac:dyDescent="0.25">
      <c r="F41" s="5" t="s">
        <v>114</v>
      </c>
    </row>
    <row r="42" spans="6:6" x14ac:dyDescent="0.25">
      <c r="F42" s="5"/>
    </row>
    <row r="43" spans="6:6" x14ac:dyDescent="0.25">
      <c r="F43" s="5" t="s">
        <v>120</v>
      </c>
    </row>
    <row r="44" spans="6:6" x14ac:dyDescent="0.25">
      <c r="F44" s="5" t="s">
        <v>121</v>
      </c>
    </row>
    <row r="45" spans="6:6" x14ac:dyDescent="0.25">
      <c r="F45" s="5" t="s">
        <v>122</v>
      </c>
    </row>
    <row r="46" spans="6:6" x14ac:dyDescent="0.25">
      <c r="F46" s="5" t="s">
        <v>123</v>
      </c>
    </row>
    <row r="47" spans="6:6" x14ac:dyDescent="0.25">
      <c r="F47" s="5"/>
    </row>
    <row r="48" spans="6:6" ht="30" x14ac:dyDescent="0.25">
      <c r="F48" s="5" t="s">
        <v>124</v>
      </c>
    </row>
    <row r="49" spans="6:6" x14ac:dyDescent="0.25">
      <c r="F49" s="5" t="s">
        <v>23</v>
      </c>
    </row>
    <row r="50" spans="6:6" x14ac:dyDescent="0.25">
      <c r="F50" s="5" t="s">
        <v>125</v>
      </c>
    </row>
    <row r="51" spans="6:6" x14ac:dyDescent="0.25">
      <c r="F51" s="5" t="s">
        <v>126</v>
      </c>
    </row>
    <row r="52" spans="6:6" x14ac:dyDescent="0.25">
      <c r="F52" s="5"/>
    </row>
    <row r="53" spans="6:6" x14ac:dyDescent="0.25">
      <c r="F53" s="5" t="s">
        <v>127</v>
      </c>
    </row>
    <row r="54" spans="6:6" x14ac:dyDescent="0.25">
      <c r="F54" s="5" t="s">
        <v>128</v>
      </c>
    </row>
    <row r="55" spans="6:6" x14ac:dyDescent="0.25">
      <c r="F55" s="5" t="s">
        <v>129</v>
      </c>
    </row>
    <row r="56" spans="6:6" x14ac:dyDescent="0.25">
      <c r="F56" s="5"/>
    </row>
    <row r="57" spans="6:6" x14ac:dyDescent="0.25">
      <c r="F57" s="5" t="s">
        <v>130</v>
      </c>
    </row>
    <row r="58" spans="6:6" x14ac:dyDescent="0.25">
      <c r="F58" s="5" t="s">
        <v>131</v>
      </c>
    </row>
    <row r="59" spans="6:6" x14ac:dyDescent="0.25">
      <c r="F59" s="5" t="s">
        <v>132</v>
      </c>
    </row>
    <row r="60" spans="6:6" x14ac:dyDescent="0.25">
      <c r="F60" s="5" t="s">
        <v>133</v>
      </c>
    </row>
    <row r="61" spans="6:6" x14ac:dyDescent="0.25">
      <c r="F61" s="5"/>
    </row>
    <row r="62" spans="6:6" x14ac:dyDescent="0.25">
      <c r="F62" s="5" t="s">
        <v>134</v>
      </c>
    </row>
    <row r="63" spans="6:6" x14ac:dyDescent="0.25">
      <c r="F63" s="5" t="s">
        <v>135</v>
      </c>
    </row>
    <row r="64" spans="6:6" x14ac:dyDescent="0.25">
      <c r="F64" s="5" t="s">
        <v>136</v>
      </c>
    </row>
    <row r="65" spans="6:6" x14ac:dyDescent="0.25">
      <c r="F65" s="5" t="s">
        <v>137</v>
      </c>
    </row>
    <row r="66" spans="6:6" x14ac:dyDescent="0.25">
      <c r="F66" s="5"/>
    </row>
    <row r="67" spans="6:6" x14ac:dyDescent="0.25">
      <c r="F67" s="5" t="s">
        <v>138</v>
      </c>
    </row>
    <row r="68" spans="6:6" x14ac:dyDescent="0.25">
      <c r="F68" s="5" t="s">
        <v>139</v>
      </c>
    </row>
    <row r="69" spans="6:6" x14ac:dyDescent="0.25">
      <c r="F69" s="5" t="s">
        <v>140</v>
      </c>
    </row>
    <row r="70" spans="6:6" x14ac:dyDescent="0.25">
      <c r="F70" s="5"/>
    </row>
    <row r="71" spans="6:6" x14ac:dyDescent="0.25">
      <c r="F71" s="5" t="s">
        <v>141</v>
      </c>
    </row>
    <row r="72" spans="6:6" ht="30" x14ac:dyDescent="0.25">
      <c r="F72" s="5" t="s">
        <v>142</v>
      </c>
    </row>
    <row r="73" spans="6:6" x14ac:dyDescent="0.25">
      <c r="F73" s="5" t="s">
        <v>143</v>
      </c>
    </row>
    <row r="74" spans="6:6" x14ac:dyDescent="0.25">
      <c r="F74" s="5" t="s">
        <v>144</v>
      </c>
    </row>
    <row r="75" spans="6:6" x14ac:dyDescent="0.25">
      <c r="F75" s="5"/>
    </row>
    <row r="76" spans="6:6" x14ac:dyDescent="0.25">
      <c r="F76" s="5" t="s">
        <v>145</v>
      </c>
    </row>
    <row r="77" spans="6:6" x14ac:dyDescent="0.25">
      <c r="F77" s="5" t="s">
        <v>144</v>
      </c>
    </row>
    <row r="78" spans="6:6" x14ac:dyDescent="0.25">
      <c r="F78" s="5" t="s">
        <v>146</v>
      </c>
    </row>
    <row r="79" spans="6:6" x14ac:dyDescent="0.25">
      <c r="F79" s="5" t="s">
        <v>147</v>
      </c>
    </row>
    <row r="80" spans="6:6" x14ac:dyDescent="0.25">
      <c r="F80" s="5" t="s">
        <v>148</v>
      </c>
    </row>
    <row r="81" spans="6:6" x14ac:dyDescent="0.25">
      <c r="F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</vt:lpstr>
      <vt:lpstr>Agents1</vt:lpstr>
      <vt:lpstr>Agents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Rajul Gupta</dc:creator>
  <cp:keywords/>
  <dc:description/>
  <cp:lastModifiedBy>Srijita Deb</cp:lastModifiedBy>
  <cp:revision/>
  <dcterms:created xsi:type="dcterms:W3CDTF">2026-06-08T05:30:02Z</dcterms:created>
  <dcterms:modified xsi:type="dcterms:W3CDTF">2026-07-07T05:17:18Z</dcterms:modified>
  <cp:category/>
  <cp:contentStatus/>
</cp:coreProperties>
</file>